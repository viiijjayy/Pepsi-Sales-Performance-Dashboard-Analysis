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now power bi project\"/>
    </mc:Choice>
  </mc:AlternateContent>
  <xr:revisionPtr revIDLastSave="0" documentId="8_{790935B8-A7D3-470D-A23C-C1335DD0CA67}" xr6:coauthVersionLast="47" xr6:coauthVersionMax="47" xr10:uidLastSave="{00000000-0000-0000-0000-000000000000}"/>
  <bookViews>
    <workbookView xWindow="-108" yWindow="-108" windowWidth="23256" windowHeight="13176" activeTab="5" xr2:uid="{0DEE5DB7-2A93-4713-B081-7AF68E0E3B9E}"/>
  </bookViews>
  <sheets>
    <sheet name="MANDHI" sheetId="1" r:id="rId1"/>
    <sheet name="QSR" sheetId="3" r:id="rId2"/>
    <sheet name="RESTUARANT" sheetId="4" r:id="rId3"/>
    <sheet name="BAKERY" sheetId="5" r:id="rId4"/>
    <sheet name="SUPERMARKET" sheetId="6" r:id="rId5"/>
    <sheet name="All in one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7" l="1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" i="7"/>
  <c r="J2" i="6"/>
  <c r="J3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</calcChain>
</file>

<file path=xl/sharedStrings.xml><?xml version="1.0" encoding="utf-8"?>
<sst xmlns="http://schemas.openxmlformats.org/spreadsheetml/2006/main" count="3986" uniqueCount="314">
  <si>
    <t>OUTLET NAME</t>
  </si>
  <si>
    <t>REGION</t>
  </si>
  <si>
    <t>OUTLET TYPE</t>
  </si>
  <si>
    <t>HIGHEST MOVENMENT SKU</t>
  </si>
  <si>
    <t>LOWEST MOVEMENT SKU</t>
  </si>
  <si>
    <t>HIGHEST MOVENMENT VARIANT</t>
  </si>
  <si>
    <t>UNIT SOLD PER DAY</t>
  </si>
  <si>
    <t>DAILY TOTAL SALES</t>
  </si>
  <si>
    <t>mandhi shop</t>
  </si>
  <si>
    <t>pepsi</t>
  </si>
  <si>
    <t>mirinda</t>
  </si>
  <si>
    <t>2 L</t>
  </si>
  <si>
    <t>250 ml</t>
  </si>
  <si>
    <t>Arabian Palace</t>
  </si>
  <si>
    <t>Sting</t>
  </si>
  <si>
    <t>mountain Dew</t>
  </si>
  <si>
    <t>aquafina</t>
  </si>
  <si>
    <t>Tharavadu</t>
  </si>
  <si>
    <t>sting</t>
  </si>
  <si>
    <t>Mehrab Mandi Yemeni Restaurant</t>
  </si>
  <si>
    <t>KUBABA KUZHIMANDHI</t>
  </si>
  <si>
    <t>Soofi Mandi</t>
  </si>
  <si>
    <t>Al Khaleej Arabian Foods</t>
  </si>
  <si>
    <t>Charcoal Shack Restaurant</t>
  </si>
  <si>
    <t>Al Reem Edappally</t>
  </si>
  <si>
    <t>Arabian Palace Kaloor</t>
  </si>
  <si>
    <t>TABOON Authentic Mandi</t>
  </si>
  <si>
    <t>Arabian Palace Kakkanad</t>
  </si>
  <si>
    <t>Zaatar Restaurant</t>
  </si>
  <si>
    <t>The Hot Spot Restaurant</t>
  </si>
  <si>
    <t>Mandhi King</t>
  </si>
  <si>
    <t>Arabic Khana</t>
  </si>
  <si>
    <t>AL SHEBA MANDHI</t>
  </si>
  <si>
    <t>Jabal Mandi</t>
  </si>
  <si>
    <t>The Salt</t>
  </si>
  <si>
    <t>Kausar Mandi</t>
  </si>
  <si>
    <t>HOM House of Mandhi</t>
  </si>
  <si>
    <t>Al Reem</t>
  </si>
  <si>
    <t>Al-Sheba Kuzhimanthi</t>
  </si>
  <si>
    <t>AL Sheba Kuzhimandhi</t>
  </si>
  <si>
    <t>Taqashi Mandi</t>
  </si>
  <si>
    <t>Makhdum Mandi</t>
  </si>
  <si>
    <t>Pathirakozhi Restaurant</t>
  </si>
  <si>
    <t>Arabian Palace Fort Kochi</t>
  </si>
  <si>
    <t>Bilal Cafe</t>
  </si>
  <si>
    <t>Al Khaleej Kuzhi Mandhi</t>
  </si>
  <si>
    <t>Kaduk Restaurant</t>
  </si>
  <si>
    <t>Roohi Mandi</t>
  </si>
  <si>
    <t>Soofiyan Mandhi</t>
  </si>
  <si>
    <t>Ceylon Bake House</t>
  </si>
  <si>
    <t>Barakah Restaurant</t>
  </si>
  <si>
    <t>Tokos Restaurant</t>
  </si>
  <si>
    <t>Arbab Mandhi</t>
  </si>
  <si>
    <t>Baa Kazhikaa Cafe &amp; Bistro</t>
  </si>
  <si>
    <t>The Persian Table</t>
  </si>
  <si>
    <t>Farsi Arabic Cafe</t>
  </si>
  <si>
    <t>Persian Durbar</t>
  </si>
  <si>
    <t>Zaaki Mandi</t>
  </si>
  <si>
    <t>Zayn Arabic Restaurant</t>
  </si>
  <si>
    <t>Beithal Manthi Arabic Restaurant</t>
  </si>
  <si>
    <t>Al Zaad Restaurant</t>
  </si>
  <si>
    <t>Zubaan Arabic Kitchen</t>
  </si>
  <si>
    <t>1 L</t>
  </si>
  <si>
    <t>2.25 L</t>
  </si>
  <si>
    <t>750 ml</t>
  </si>
  <si>
    <t>2L</t>
  </si>
  <si>
    <t>2.2L</t>
  </si>
  <si>
    <t>2.2 L</t>
  </si>
  <si>
    <t xml:space="preserve">750 ml </t>
  </si>
  <si>
    <t>450 ml</t>
  </si>
  <si>
    <t xml:space="preserve">2.2 L </t>
  </si>
  <si>
    <t xml:space="preserve">1 L </t>
  </si>
  <si>
    <t>Burger king</t>
  </si>
  <si>
    <t>edapilly</t>
  </si>
  <si>
    <t>MG road</t>
  </si>
  <si>
    <t>vytilla</t>
  </si>
  <si>
    <t>kakkanad</t>
  </si>
  <si>
    <t>KFC</t>
  </si>
  <si>
    <t>Lulu Mall</t>
  </si>
  <si>
    <t>Oberon Mall</t>
  </si>
  <si>
    <t>Kakkanad</t>
  </si>
  <si>
    <t>Kaloor</t>
  </si>
  <si>
    <t>Palarivattom</t>
  </si>
  <si>
    <t>Kalamassery</t>
  </si>
  <si>
    <t>Ravipuram</t>
  </si>
  <si>
    <t>Thoppumpady</t>
  </si>
  <si>
    <t>Aluva</t>
  </si>
  <si>
    <t xml:space="preserve">Thrippunithura </t>
  </si>
  <si>
    <t>Thrippunithura</t>
  </si>
  <si>
    <t>Vytilla</t>
  </si>
  <si>
    <t>oberon mall</t>
  </si>
  <si>
    <t>Edapilly</t>
  </si>
  <si>
    <t>QSR</t>
  </si>
  <si>
    <t>Chicking</t>
  </si>
  <si>
    <t>vytila</t>
  </si>
  <si>
    <t>Njarakkal</t>
  </si>
  <si>
    <t>Paravoor</t>
  </si>
  <si>
    <t>Subway</t>
  </si>
  <si>
    <t>marine drive</t>
  </si>
  <si>
    <t>Panampilly</t>
  </si>
  <si>
    <t>Tacobell</t>
  </si>
  <si>
    <t>popeyes</t>
  </si>
  <si>
    <t>loaded</t>
  </si>
  <si>
    <t>M.G. Road</t>
  </si>
  <si>
    <t>Maradu</t>
  </si>
  <si>
    <t>Willingdon Island</t>
  </si>
  <si>
    <t>Vazhakkala</t>
  </si>
  <si>
    <t>Meat Barell</t>
  </si>
  <si>
    <t>Shenoys</t>
  </si>
  <si>
    <t>Edappally</t>
  </si>
  <si>
    <t>Mountain Dew</t>
  </si>
  <si>
    <t>Mirinda</t>
  </si>
  <si>
    <t>Zero sugar</t>
  </si>
  <si>
    <t>Nimbuz</t>
  </si>
  <si>
    <t>slice</t>
  </si>
  <si>
    <t>1.2 L</t>
  </si>
  <si>
    <t xml:space="preserve">2 L </t>
  </si>
  <si>
    <t>Paragon</t>
  </si>
  <si>
    <t>Thaal Kitchen</t>
  </si>
  <si>
    <t>Arippa</t>
  </si>
  <si>
    <t>Dhe Puttu</t>
  </si>
  <si>
    <t>Calicut Restaurant</t>
  </si>
  <si>
    <t>Ikkal Restaurant</t>
  </si>
  <si>
    <t>TOT - Talk of the Town</t>
  </si>
  <si>
    <t>Kayal Kitchen</t>
  </si>
  <si>
    <t>Bachikka Restaurant</t>
  </si>
  <si>
    <t>Grand Entree</t>
  </si>
  <si>
    <t>Grand Pavilion</t>
  </si>
  <si>
    <t>Salkara by Paragon</t>
  </si>
  <si>
    <t>Coco Blues Restaurant</t>
  </si>
  <si>
    <t>Roastown Global Grill</t>
  </si>
  <si>
    <t>United Coconut by Chef Pillai</t>
  </si>
  <si>
    <t>Restaurant Chef Pillai</t>
  </si>
  <si>
    <t>Fort Paragon by Calicut Paragon</t>
  </si>
  <si>
    <t>Rasanai</t>
  </si>
  <si>
    <t>Kaasa Kitchen</t>
  </si>
  <si>
    <t>Alakapuri Restaurant</t>
  </si>
  <si>
    <t>The Voyager Diner</t>
  </si>
  <si>
    <t>Mani Mesha</t>
  </si>
  <si>
    <t>Hotel Yuvarani</t>
  </si>
  <si>
    <t>Wok &amp; Grill</t>
  </si>
  <si>
    <t>Supreme Upper Crust</t>
  </si>
  <si>
    <t>Sardarji Ka Dhaba</t>
  </si>
  <si>
    <t>Ghar Ka Nachta</t>
  </si>
  <si>
    <t>Nasi and Mee</t>
  </si>
  <si>
    <t>Biteszza</t>
  </si>
  <si>
    <t>Bimbis Fast Food</t>
  </si>
  <si>
    <t>The Burger Junction</t>
  </si>
  <si>
    <t>Cocoa Tree</t>
  </si>
  <si>
    <t>Jeff Biryani</t>
  </si>
  <si>
    <t>Palaaram</t>
  </si>
  <si>
    <t>Brindhavan Restaurant</t>
  </si>
  <si>
    <t>Sree Krishna Inn</t>
  </si>
  <si>
    <t>Subida Restaurant</t>
  </si>
  <si>
    <t>Mamma Mia Exotic Kitchen</t>
  </si>
  <si>
    <t>ChaiCofi</t>
  </si>
  <si>
    <t>The Shap Restaurant</t>
  </si>
  <si>
    <t>Kochi Kitchen</t>
  </si>
  <si>
    <t>Mughal Restaurant</t>
  </si>
  <si>
    <t>Rose &amp; Mango</t>
  </si>
  <si>
    <t>Marina the sea face restaurant</t>
  </si>
  <si>
    <t>Fort View Restaurant</t>
  </si>
  <si>
    <t>Hotel Sri Mu</t>
  </si>
  <si>
    <t>Cook Factory</t>
  </si>
  <si>
    <t>Hotel Jalaliya</t>
  </si>
  <si>
    <t>Mamangalam</t>
  </si>
  <si>
    <t>Vyttila</t>
  </si>
  <si>
    <t>Fort Kochi</t>
  </si>
  <si>
    <t>Panampilly Nagar</t>
  </si>
  <si>
    <t>Kadavanthra</t>
  </si>
  <si>
    <t>Vennala</t>
  </si>
  <si>
    <t>Kochi</t>
  </si>
  <si>
    <t>Marriott Edappally</t>
  </si>
  <si>
    <t>Cherai</t>
  </si>
  <si>
    <t>Angamaly</t>
  </si>
  <si>
    <t>Restaurant</t>
  </si>
  <si>
    <t>Pepsi</t>
  </si>
  <si>
    <t>mountain dew</t>
  </si>
  <si>
    <t>Aquafina</t>
  </si>
  <si>
    <t>Navya Bake House</t>
  </si>
  <si>
    <t>Geo Bakes</t>
  </si>
  <si>
    <t>KR Bakes</t>
  </si>
  <si>
    <t>Cochin Bakery</t>
  </si>
  <si>
    <t>Best Bakers</t>
  </si>
  <si>
    <t>Edhans Bakers</t>
  </si>
  <si>
    <t>Bismi Bakery</t>
  </si>
  <si>
    <t>K A Kumaran Sons</t>
  </si>
  <si>
    <t>Elite Tasty Foods</t>
  </si>
  <si>
    <t>Ambika Bakery</t>
  </si>
  <si>
    <t>Supreme Bakers</t>
  </si>
  <si>
    <t>Oven Fresh</t>
  </si>
  <si>
    <t>Bake My Day</t>
  </si>
  <si>
    <t>Live Cake House</t>
  </si>
  <si>
    <t>The Baker's Archer</t>
  </si>
  <si>
    <t>Brown Tree Bakery</t>
  </si>
  <si>
    <t>Cake Hut</t>
  </si>
  <si>
    <t>Daily Delight Bakery</t>
  </si>
  <si>
    <t>Kochi Baking Company</t>
  </si>
  <si>
    <t>Malabar Bakers</t>
  </si>
  <si>
    <t>French Toast Bakery</t>
  </si>
  <si>
    <t>Muffins Bakery</t>
  </si>
  <si>
    <t>Hot Bakes</t>
  </si>
  <si>
    <t>Bread World</t>
  </si>
  <si>
    <t>Ovenly Bakers</t>
  </si>
  <si>
    <t>Ann's Bakery</t>
  </si>
  <si>
    <t>Quality Bakers</t>
  </si>
  <si>
    <t>New Cochin Bakery</t>
  </si>
  <si>
    <t>Grand Bake House</t>
  </si>
  <si>
    <t>Golden Bakes</t>
  </si>
  <si>
    <t>Crown Bakers</t>
  </si>
  <si>
    <t>Pioneer Bakery</t>
  </si>
  <si>
    <t>Choice Bakery</t>
  </si>
  <si>
    <t>Royal Bakers</t>
  </si>
  <si>
    <t>City Bakery</t>
  </si>
  <si>
    <t>Wheat House Bakery</t>
  </si>
  <si>
    <t>Loafers Corner Bakery</t>
  </si>
  <si>
    <t>Cake Studio</t>
  </si>
  <si>
    <t>Crust &amp; Crumb</t>
  </si>
  <si>
    <t>Delicia Bakers</t>
  </si>
  <si>
    <t>Square One Homemade Treats</t>
  </si>
  <si>
    <t>Thomson Bakery</t>
  </si>
  <si>
    <t>Modern Bakes</t>
  </si>
  <si>
    <t>Honey Dew Bakery</t>
  </si>
  <si>
    <t>Bake Studio</t>
  </si>
  <si>
    <t>Star Bakery</t>
  </si>
  <si>
    <t>Sweet Palace Bakery</t>
  </si>
  <si>
    <t>Juice &amp; Bakes</t>
  </si>
  <si>
    <t>Meridian Bakers</t>
  </si>
  <si>
    <t>Galaxy Bakery</t>
  </si>
  <si>
    <t>Bakery</t>
  </si>
  <si>
    <t>Trippunithura</t>
  </si>
  <si>
    <t>Perumbavoor</t>
  </si>
  <si>
    <t>Gatoride</t>
  </si>
  <si>
    <t>7up</t>
  </si>
  <si>
    <t xml:space="preserve"> 1 L</t>
  </si>
  <si>
    <t>220 ml</t>
  </si>
  <si>
    <t>LuLu Hypermarket</t>
  </si>
  <si>
    <t>Reliance SMART Bazaar</t>
  </si>
  <si>
    <t>Smart Bazaar</t>
  </si>
  <si>
    <t>WE MART HYPERMARKET</t>
  </si>
  <si>
    <t>Pothys Hypermarket</t>
  </si>
  <si>
    <t>PEEKAY HYPERMARKET</t>
  </si>
  <si>
    <t>Millennium Hypermarket</t>
  </si>
  <si>
    <t>Vishal Mega Mart</t>
  </si>
  <si>
    <t>Bismi Hypermart</t>
  </si>
  <si>
    <t>Kalyan Hypermarket</t>
  </si>
  <si>
    <t>Green Leaf Supermarket</t>
  </si>
  <si>
    <t>Ashis Super Mercato</t>
  </si>
  <si>
    <t>Supplyco Peoples Bazar</t>
  </si>
  <si>
    <t>Margin Free Market</t>
  </si>
  <si>
    <t>Nilgiris Supermarket</t>
  </si>
  <si>
    <t>Coopmart</t>
  </si>
  <si>
    <t>WellMart Super Market</t>
  </si>
  <si>
    <t>Lemon &amp; Grain Supermarket</t>
  </si>
  <si>
    <t>Valueprix Supermarket</t>
  </si>
  <si>
    <t>Kairali Supermarket</t>
  </si>
  <si>
    <t>Coco Mart Supermarket</t>
  </si>
  <si>
    <t>Cochin Shipyard Supermarket</t>
  </si>
  <si>
    <t>Krishna Marginless Supermarket</t>
  </si>
  <si>
    <t>K Mark Retail Supermarket</t>
  </si>
  <si>
    <t>Big Fresh</t>
  </si>
  <si>
    <t>Host Hypermarket</t>
  </si>
  <si>
    <t>Pachakarikayathattu Supermart</t>
  </si>
  <si>
    <t>The Salt Hypermarket</t>
  </si>
  <si>
    <t>Torres Mart</t>
  </si>
  <si>
    <t>Kochi Supermarket</t>
  </si>
  <si>
    <t>Ellickel Margin Free</t>
  </si>
  <si>
    <t>Amma Stores</t>
  </si>
  <si>
    <t>Betterlife Super Market</t>
  </si>
  <si>
    <t>Home Mart</t>
  </si>
  <si>
    <t>Cochin Supermarket</t>
  </si>
  <si>
    <t>Daffodils Supermarket</t>
  </si>
  <si>
    <t>Shop N Save</t>
  </si>
  <si>
    <t>Nanmma Supermarket</t>
  </si>
  <si>
    <t>Elora Rcm Supermarket</t>
  </si>
  <si>
    <t>Fabstore</t>
  </si>
  <si>
    <t>Sunil Stores</t>
  </si>
  <si>
    <t>Naxose Express</t>
  </si>
  <si>
    <t>Jomart Retails</t>
  </si>
  <si>
    <t>Aaiis Supermarket</t>
  </si>
  <si>
    <t>Tanish MyZone Supermarket</t>
  </si>
  <si>
    <t>Neethi Stores</t>
  </si>
  <si>
    <t>PH Mart</t>
  </si>
  <si>
    <t>Ibwis Mart</t>
  </si>
  <si>
    <t>Happy Mart</t>
  </si>
  <si>
    <t>Elamakkara</t>
  </si>
  <si>
    <t>Tripunithura</t>
  </si>
  <si>
    <t>Supermarket</t>
  </si>
  <si>
    <t>750ml</t>
  </si>
  <si>
    <t>751 ml</t>
  </si>
  <si>
    <t>752 ml</t>
  </si>
  <si>
    <t>753 ml</t>
  </si>
  <si>
    <t>Flanges</t>
  </si>
  <si>
    <t>umberalla</t>
  </si>
  <si>
    <t>singnauges</t>
  </si>
  <si>
    <t>Stickers</t>
  </si>
  <si>
    <t>Banners</t>
  </si>
  <si>
    <t>Singauges</t>
  </si>
  <si>
    <t>Umberalla</t>
  </si>
  <si>
    <t>Singuages</t>
  </si>
  <si>
    <t>Tshirts</t>
  </si>
  <si>
    <t>POSM</t>
  </si>
  <si>
    <t>HIGHEST MOVEMENT SKU</t>
  </si>
  <si>
    <t>HIGHEST MOVEMENT VARIANT</t>
  </si>
  <si>
    <t>WEEKLY TOTAL SALES</t>
  </si>
  <si>
    <t>LOWEST MOVEMENT VARIANT</t>
  </si>
  <si>
    <t>LOWEST MOVENMENT VARIANT</t>
  </si>
  <si>
    <t>Kathrikadavu</t>
  </si>
  <si>
    <t>Pullepady</t>
  </si>
  <si>
    <t>Padamughal</t>
  </si>
  <si>
    <t>Ponekkara</t>
  </si>
  <si>
    <t>Edakochi</t>
  </si>
  <si>
    <t>Ernakulam</t>
  </si>
  <si>
    <t>Marine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</si>
</sst>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/>
    <xf numFmtId="3" fontId="0" fillId="0" borderId="1" xfId="0" applyNumberFormat="1" applyBorder="1"/>
    <xf numFmtId="3" fontId="0" fillId="0" borderId="6" xfId="0" applyNumberFormat="1" applyBorder="1"/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8" xfId="0" applyBorder="1"/>
    <xf numFmtId="3" fontId="0" fillId="0" borderId="8" xfId="0" applyNumberFormat="1" applyBorder="1"/>
    <xf numFmtId="3" fontId="0" fillId="0" borderId="9" xfId="0" applyNumberFormat="1" applyBorder="1"/>
    <xf numFmtId="0" fontId="0" fillId="0" borderId="9" xfId="0" applyBorder="1"/>
    <xf numFmtId="0" fontId="0" fillId="0" borderId="7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2" borderId="1" xfId="0" applyFont="1" applyFill="1" applyBorder="1"/>
    <xf numFmtId="0" fontId="1" fillId="3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3" borderId="1" xfId="0" applyFill="1" applyBorder="1"/>
    <xf numFmtId="3" fontId="0" fillId="3" borderId="1" xfId="0" applyNumberFormat="1" applyFill="1" applyBorder="1"/>
    <xf numFmtId="3" fontId="0" fillId="3" borderId="6" xfId="0" applyNumberFormat="1" applyFill="1" applyBorder="1"/>
    <xf numFmtId="0" fontId="3" fillId="2" borderId="2" xfId="0" applyFont="1" applyFill="1" applyBorder="1"/>
    <xf numFmtId="0" fontId="3" fillId="2" borderId="4" xfId="0" applyFont="1" applyFill="1" applyBorder="1"/>
    <xf numFmtId="0" fontId="0" fillId="3" borderId="6" xfId="0" applyFill="1" applyBorder="1"/>
    <xf numFmtId="0" fontId="1" fillId="3" borderId="1" xfId="0" applyFont="1" applyFill="1" applyBorder="1"/>
    <xf numFmtId="0" fontId="0" fillId="3" borderId="1" xfId="0" applyFill="1" applyBorder="1" applyAlignment="1">
      <alignment horizontal="left"/>
    </xf>
    <xf numFmtId="0" fontId="0" fillId="3" borderId="5" xfId="0" applyFill="1" applyBorder="1"/>
    <xf numFmtId="0" fontId="0" fillId="3" borderId="5" xfId="0" applyFill="1" applyBorder="1" applyAlignment="1">
      <alignment horizontal="left"/>
    </xf>
    <xf numFmtId="0" fontId="0" fillId="3" borderId="10" xfId="0" applyFill="1" applyBorder="1"/>
    <xf numFmtId="0" fontId="0" fillId="0" borderId="10" xfId="0" applyBorder="1"/>
    <xf numFmtId="0" fontId="0" fillId="3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3" borderId="6" xfId="0" applyFill="1" applyBorder="1" applyAlignment="1">
      <alignment horizontal="left"/>
    </xf>
    <xf numFmtId="0" fontId="3" fillId="2" borderId="3" xfId="0" applyFont="1" applyFill="1" applyBorder="1"/>
    <xf numFmtId="3" fontId="0" fillId="3" borderId="9" xfId="0" applyNumberFormat="1" applyFill="1" applyBorder="1"/>
  </cellXfs>
  <cellStyles count="1">
    <cellStyle name="Normal" xfId="0" builtinId="0"/>
  </cellStyles>
  <dxfs count="9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FDDD55-520C-480F-BCE3-B74D17C3389D}" name="Table3" displayName="Table3" ref="A1:K51" totalsRowShown="0" headerRowDxfId="74" headerRowBorderDxfId="73" tableBorderDxfId="72" totalsRowBorderDxfId="71">
  <autoFilter ref="A1:K51" xr:uid="{88FDDD55-520C-480F-BCE3-B74D17C3389D}"/>
  <tableColumns count="11">
    <tableColumn id="1" xr3:uid="{D3DF9089-C246-4E48-86CC-102D97E38000}" name="OUTLET NAME" dataDxfId="70"/>
    <tableColumn id="2" xr3:uid="{38F1EF44-DDD1-4B2A-AFFD-8D31312DCEFE}" name="REGION"/>
    <tableColumn id="3" xr3:uid="{D39D6A1E-7D58-4DDA-97D7-6B8A5E4241EB}" name="OUTLET TYPE" dataDxfId="69"/>
    <tableColumn id="4" xr3:uid="{938C54A5-C431-42AC-8834-4F248CA564A5}" name="HIGHEST MOVENMENT VARIANT" dataDxfId="68"/>
    <tableColumn id="5" xr3:uid="{3FF53C73-3AD3-4619-955F-21C5A2A8EDFD}" name="LOWEST MOVENMENT VARIANT" dataDxfId="67"/>
    <tableColumn id="6" xr3:uid="{C5B43164-4F9C-423F-A16E-CB15D0926382}" name="HIGHEST MOVENMENT SKU" dataDxfId="66"/>
    <tableColumn id="7" xr3:uid="{032BA731-EF5E-46F9-BCED-105494E16ADF}" name="LOWEST MOVEMENT SKU" dataDxfId="65"/>
    <tableColumn id="8" xr3:uid="{98C3F5AA-C035-49BE-9DCC-DF6DC1B7F17F}" name="UNIT SOLD PER DAY" dataDxfId="64"/>
    <tableColumn id="9" xr3:uid="{BDC5E6F1-D05D-4AFF-BB2E-68C810E6BA00}" name="DAILY TOTAL SALES" dataDxfId="63"/>
    <tableColumn id="10" xr3:uid="{7DC0D99A-6BF7-4F54-A954-BE4696FF8DA4}" name="WEEKLY TOTAL SALES" dataDxfId="62">
      <calculatedColumnFormula>Table3[[#This Row],[DAILY TOTAL SALES]]*7</calculatedColumnFormula>
    </tableColumn>
    <tableColumn id="11" xr3:uid="{CB45075C-E11D-4B48-8006-F695D08B5AEA}" name="POSM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4C0427-CD7F-4F04-AEF5-0206FEBF698A}" name="Table2" displayName="Table2" ref="A1:K46" totalsRowShown="0" headerRowDxfId="60" headerRowBorderDxfId="59" tableBorderDxfId="58" totalsRowBorderDxfId="57">
  <autoFilter ref="A1:K46" xr:uid="{904C0427-CD7F-4F04-AEF5-0206FEBF698A}"/>
  <tableColumns count="11">
    <tableColumn id="1" xr3:uid="{ED771F18-D1F1-4C2E-AB06-BAFD23A7E0AF}" name="OUTLET NAME" dataDxfId="56"/>
    <tableColumn id="2" xr3:uid="{FE15CB36-8EBE-4C93-9D61-A91491E87677}" name="REGION" dataDxfId="55"/>
    <tableColumn id="3" xr3:uid="{CF24CD37-B56B-4490-9363-5B9A61E718C1}" name="OUTLET TYPE" dataDxfId="54"/>
    <tableColumn id="4" xr3:uid="{72B8C030-3CB1-4B89-A8C2-1C986493B189}" name="HIGHEST MOVEMENT VARIANT" dataDxfId="53"/>
    <tableColumn id="5" xr3:uid="{FFC816AD-F5EE-49E2-A128-A6F4EFB09C22}" name="LOWEST MOVEMENT VARIANT" dataDxfId="52"/>
    <tableColumn id="6" xr3:uid="{E11F03C2-6F13-400D-A8F0-28047B5180A2}" name="HIGHEST MOVEMENT SKU" dataDxfId="51"/>
    <tableColumn id="7" xr3:uid="{86B4F9B0-8FE4-4933-B7B0-5961073CBB6D}" name="LOWEST MOVEMENT SKU" dataDxfId="50"/>
    <tableColumn id="8" xr3:uid="{9930E883-F2AD-42E1-A23F-22969366D7CE}" name="UNIT SOLD PER DAY" dataDxfId="49"/>
    <tableColumn id="9" xr3:uid="{3E2F28E5-9726-416F-A8F7-B1468CFAE0D0}" name="DAILY TOTAL SALES" dataDxfId="48"/>
    <tableColumn id="10" xr3:uid="{9A333ED5-7C78-476E-B6FD-E8B1586FD8D2}" name="WEEKLY TOTAL SALES" dataDxfId="47">
      <calculatedColumnFormula>Table2[[#This Row],[DAILY TOTAL SALES]]*7</calculatedColumnFormula>
    </tableColumn>
    <tableColumn id="11" xr3:uid="{0979A016-9CCC-4EF0-B4BB-8349BF839F16}" name="POSM" data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9DA442-AD88-4FE5-9AAB-7F32315F4554}" name="Table4" displayName="Table4" ref="A1:K51" totalsRowShown="0" headerRowDxfId="45" headerRowBorderDxfId="44" tableBorderDxfId="43" totalsRowBorderDxfId="42">
  <autoFilter ref="A1:K51" xr:uid="{349DA442-AD88-4FE5-9AAB-7F32315F4554}"/>
  <tableColumns count="11">
    <tableColumn id="1" xr3:uid="{DE6F2EAA-4897-467B-8314-D896FA4507CC}" name="OUTLET NAME" dataDxfId="41"/>
    <tableColumn id="2" xr3:uid="{7EC4FB45-199C-46D2-934A-674C7EC95A4C}" name="REGION" dataDxfId="40"/>
    <tableColumn id="3" xr3:uid="{760BC826-3833-4A60-8D0A-1A3A814EF4F5}" name="OUTLET TYPE" dataDxfId="39"/>
    <tableColumn id="4" xr3:uid="{D11CC8D7-5155-4CE5-91A3-569C930E4554}" name="HIGHEST MOVEMENT VARIANT" dataDxfId="38"/>
    <tableColumn id="5" xr3:uid="{CD972071-9353-4735-8755-EF68AFF66A5A}" name="LOWEST MOVEMENT VARIANT" dataDxfId="37"/>
    <tableColumn id="6" xr3:uid="{60BF7F9D-6749-40CF-A495-591CEE6C03C3}" name="HIGHEST MOVEMENT SKU" dataDxfId="36"/>
    <tableColumn id="7" xr3:uid="{4116DA5D-C7B8-4E32-97DE-13BA75B36436}" name="LOWEST MOVEMENT SKU" dataDxfId="35"/>
    <tableColumn id="8" xr3:uid="{E1A56CF6-7CEB-42A7-B0B1-BFC0DB1610A1}" name="UNIT SOLD PER DAY" dataDxfId="34"/>
    <tableColumn id="9" xr3:uid="{5D10857A-9928-4FAC-8FC9-B21E1C1E439C}" name="DAILY TOTAL SALES" dataDxfId="33"/>
    <tableColumn id="10" xr3:uid="{397A791D-1652-4A73-BE76-2305D74E7610}" name="WEEKLY TOTAL SALES" dataDxfId="32">
      <calculatedColumnFormula>I2*7</calculatedColumnFormula>
    </tableColumn>
    <tableColumn id="11" xr3:uid="{A917F242-5C3F-4300-B3F4-DB304E366DA7}" name="POSM" dataDxfId="3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E1A8BA-A7DB-442E-B1DC-241B2A29C262}" name="Table5" displayName="Table5" ref="A1:K51" totalsRowShown="0" headerRowDxfId="30" dataDxfId="28" headerRowBorderDxfId="29" tableBorderDxfId="27" totalsRowBorderDxfId="26">
  <autoFilter ref="A1:K51" xr:uid="{E2E1A8BA-A7DB-442E-B1DC-241B2A29C262}"/>
  <tableColumns count="11">
    <tableColumn id="1" xr3:uid="{25E87B5D-CD07-4B01-BC7F-81C8825D6DCE}" name="OUTLET NAME" dataDxfId="25"/>
    <tableColumn id="2" xr3:uid="{86EDD684-C1B4-4DAA-A359-9A4C6ADD9FF2}" name="REGION" dataDxfId="24"/>
    <tableColumn id="3" xr3:uid="{17F66BD4-183F-4283-8B0C-1EFAE1EC2A39}" name="OUTLET TYPE" dataDxfId="23"/>
    <tableColumn id="4" xr3:uid="{A3939166-7DFF-40EA-A938-742F09CE27AA}" name="HIGHEST MOVEMENT VARIANT" dataDxfId="22"/>
    <tableColumn id="5" xr3:uid="{E42D4D6E-57B7-4C5B-8421-82BA8A372DE0}" name="LOWEST MOVEMENT VARIANT" dataDxfId="21"/>
    <tableColumn id="6" xr3:uid="{8E1E0E08-586F-4B4F-A884-491D431428E5}" name="HIGHEST MOVEMENT SKU" dataDxfId="20"/>
    <tableColumn id="7" xr3:uid="{4D82D546-9280-401E-9382-B07A55AD3D8A}" name="LOWEST MOVEMENT SKU" dataDxfId="19"/>
    <tableColumn id="8" xr3:uid="{56E76B9C-E835-49B5-9829-2E1F8D0BBAFD}" name="UNIT SOLD PER DAY" dataDxfId="18"/>
    <tableColumn id="9" xr3:uid="{176CB5AF-CF7B-4B87-9912-BF56859A06C4}" name="DAILY TOTAL SALES" dataDxfId="17"/>
    <tableColumn id="10" xr3:uid="{2948275A-61BA-4DA3-8A3B-E579DB217142}" name="WEEKLY TOTAL SALES" dataDxfId="16">
      <calculatedColumnFormula>Table5[[#This Row],[DAILY TOTAL SALES]]*7</calculatedColumnFormula>
    </tableColumn>
    <tableColumn id="11" xr3:uid="{E74334FF-55AE-49A2-952A-7628B7D2D994}" name="POSM" dataDxfId="1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9537BE-F21D-432D-BD6E-8C77650D035F}" name="Table6" displayName="Table6" ref="A1:K51" totalsRowShown="0" headerRowDxfId="14" headerRowBorderDxfId="13" tableBorderDxfId="12" totalsRowBorderDxfId="11">
  <autoFilter ref="A1:K51" xr:uid="{879537BE-F21D-432D-BD6E-8C77650D035F}"/>
  <tableColumns count="11">
    <tableColumn id="1" xr3:uid="{56348E93-2F31-4975-B2BF-B5AE72F61B5C}" name="OUTLET NAME" dataDxfId="10"/>
    <tableColumn id="2" xr3:uid="{C01E2BFB-6923-48E6-9F52-6BDA809E8260}" name="REGION" dataDxfId="9"/>
    <tableColumn id="3" xr3:uid="{B0E82E65-A1E3-48AB-B14E-941B12CAAA64}" name="OUTLET TYPE" dataDxfId="8"/>
    <tableColumn id="4" xr3:uid="{8361AF7B-9950-48B8-A63E-E3CDDEF7A5C7}" name="HIGHEST MOVEMENT VARIANT" dataDxfId="7"/>
    <tableColumn id="5" xr3:uid="{6E44DCDB-A11B-4E6B-8311-06B5955A88FE}" name="LOWEST MOVEMENT VARIANT" dataDxfId="6"/>
    <tableColumn id="6" xr3:uid="{FEA45836-66DE-4691-975D-C6D9D3E6DB35}" name="HIGHEST MOVEMENT SKU" dataDxfId="5"/>
    <tableColumn id="7" xr3:uid="{ACCA6A90-C94E-4071-8C35-ACB29F149361}" name="LOWEST MOVEMENT SKU" dataDxfId="4"/>
    <tableColumn id="8" xr3:uid="{B47A4405-918C-4366-B1DC-AECFFD7003BA}" name="UNIT SOLD PER DAY" dataDxfId="3"/>
    <tableColumn id="9" xr3:uid="{451B2846-C4F2-433C-9C72-095FE093CF55}" name="DAILY TOTAL SALES" dataDxfId="2"/>
    <tableColumn id="10" xr3:uid="{9672B269-EC5E-4087-AE92-AFB54F4739E9}" name="WEEKLY TOTAL SALES" dataDxfId="1">
      <calculatedColumnFormula>Table6[[#This Row],[DAILY TOTAL SALES]]*7</calculatedColumnFormula>
    </tableColumn>
    <tableColumn id="11" xr3:uid="{8DF40AA0-13BC-4749-8AD0-2934EB8DEB33}" name="POSM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99FA56A-9834-4108-9DBE-DE75433A3C6F}" name="Table7" displayName="Table7" ref="B1:C246" totalsRowShown="0" headerRowDxfId="92" headerRowBorderDxfId="91" tableBorderDxfId="90" totalsRowBorderDxfId="89">
  <autoFilter ref="B1:C246" xr:uid="{099FA56A-9834-4108-9DBE-DE75433A3C6F}"/>
  <tableColumns count="2">
    <tableColumn id="1" xr3:uid="{EA73DB18-B5F2-44E8-8CA2-E2CC62B0BEDA}" name="REGION" dataDxfId="88"/>
    <tableColumn id="2" xr3:uid="{36F7E19A-9FA8-4EAD-A453-0A1BF1D2C08F}" name="OUTLET TYPE" dataDxfId="8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F9F8BA-94FD-4FF6-9F24-CE36107E2B94}" name="Table8" displayName="Table8" ref="D1:K246" totalsRowShown="0" headerRowDxfId="86" dataDxfId="84" headerRowBorderDxfId="85" tableBorderDxfId="83">
  <autoFilter ref="D1:K246" xr:uid="{20F9F8BA-94FD-4FF6-9F24-CE36107E2B94}"/>
  <tableColumns count="8">
    <tableColumn id="1" xr3:uid="{B1C6FE7C-9D63-45BA-8F1F-ABF767560357}" name="HIGHEST MOVENMENT VARIANT" dataDxfId="82"/>
    <tableColumn id="2" xr3:uid="{29FC4C04-AFB9-4268-81ED-81AF41D1C107}" name="LOWEST MOVENMENT VARIANT" dataDxfId="81"/>
    <tableColumn id="3" xr3:uid="{F4A3BCB0-2A5B-456B-9ABD-2D6DDFA8145B}" name="HIGHEST MOVENMENT SKU" dataDxfId="80"/>
    <tableColumn id="4" xr3:uid="{E671126D-DDA1-4761-A2CD-CF2E82DEE021}" name="LOWEST MOVEMENT SKU" dataDxfId="79"/>
    <tableColumn id="5" xr3:uid="{DC09207E-EFDC-4A19-9D92-2E1D94B1D07C}" name="UNIT SOLD PER DAY" dataDxfId="78"/>
    <tableColumn id="6" xr3:uid="{8535D3F2-6E6B-4FC6-844A-F3DBB76454F5}" name="DAILY TOTAL SALES" dataDxfId="77"/>
    <tableColumn id="7" xr3:uid="{4E7BFDCC-287C-485C-BB3A-4F50119B7237}" name="WEEKLY TOTAL SALES" dataDxfId="76">
      <calculatedColumnFormula>I2*7</calculatedColumnFormula>
    </tableColumn>
    <tableColumn id="8" xr3:uid="{C9C55B84-5C44-4912-91A6-A8178CF3908D}" name="POSM" dataDxfId="7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96E97-E94E-4BB2-B5DA-07DE19335F57}">
  <dimension ref="A1:K51"/>
  <sheetViews>
    <sheetView zoomScale="55" zoomScaleNormal="55" workbookViewId="0">
      <selection activeCell="K2" sqref="K2:K51"/>
    </sheetView>
  </sheetViews>
  <sheetFormatPr defaultRowHeight="14.4" x14ac:dyDescent="0.3"/>
  <cols>
    <col min="1" max="1" width="29.5546875" customWidth="1"/>
    <col min="2" max="2" width="48.33203125" customWidth="1"/>
    <col min="3" max="3" width="17" customWidth="1"/>
    <col min="4" max="4" width="35.88671875" customWidth="1"/>
    <col min="5" max="5" width="31.88671875" customWidth="1"/>
    <col min="6" max="6" width="28.77734375" customWidth="1"/>
    <col min="7" max="7" width="31.6640625" customWidth="1"/>
    <col min="8" max="8" width="20.33203125" customWidth="1"/>
    <col min="9" max="9" width="25.5546875" customWidth="1"/>
    <col min="10" max="10" width="28.33203125" customWidth="1"/>
    <col min="11" max="11" width="32.8867187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5</v>
      </c>
      <c r="E1" s="2" t="s">
        <v>306</v>
      </c>
      <c r="F1" s="2" t="s">
        <v>3</v>
      </c>
      <c r="G1" s="2" t="s">
        <v>4</v>
      </c>
      <c r="H1" s="2" t="s">
        <v>6</v>
      </c>
      <c r="I1" s="2" t="s">
        <v>7</v>
      </c>
      <c r="J1" s="3" t="s">
        <v>304</v>
      </c>
      <c r="K1" s="2" t="s">
        <v>301</v>
      </c>
    </row>
    <row r="2" spans="1:11" x14ac:dyDescent="0.3">
      <c r="A2" s="4" t="s">
        <v>19</v>
      </c>
      <c r="B2" s="34" t="s">
        <v>109</v>
      </c>
      <c r="C2" s="6" t="s">
        <v>8</v>
      </c>
      <c r="D2" s="6" t="s">
        <v>9</v>
      </c>
      <c r="E2" s="6" t="s">
        <v>10</v>
      </c>
      <c r="F2" s="6" t="s">
        <v>11</v>
      </c>
      <c r="G2" s="6" t="s">
        <v>12</v>
      </c>
      <c r="H2" s="6">
        <v>262</v>
      </c>
      <c r="I2" s="7">
        <v>14400</v>
      </c>
      <c r="J2" s="8">
        <f>Table3[[#This Row],[DAILY TOTAL SALES]]*7</f>
        <v>100800</v>
      </c>
      <c r="K2" s="2" t="s">
        <v>299</v>
      </c>
    </row>
    <row r="3" spans="1:11" x14ac:dyDescent="0.3">
      <c r="A3" s="4" t="s">
        <v>20</v>
      </c>
      <c r="B3" s="34" t="s">
        <v>109</v>
      </c>
      <c r="C3" s="6" t="s">
        <v>8</v>
      </c>
      <c r="D3" s="6" t="s">
        <v>9</v>
      </c>
      <c r="E3" s="6" t="s">
        <v>14</v>
      </c>
      <c r="F3" s="6" t="s">
        <v>62</v>
      </c>
      <c r="G3" s="6" t="s">
        <v>12</v>
      </c>
      <c r="H3" s="6">
        <v>350</v>
      </c>
      <c r="I3" s="7">
        <v>28545</v>
      </c>
      <c r="J3" s="8">
        <f>Table3[[#This Row],[DAILY TOTAL SALES]]*7</f>
        <v>199815</v>
      </c>
      <c r="K3" s="2" t="s">
        <v>299</v>
      </c>
    </row>
    <row r="4" spans="1:11" x14ac:dyDescent="0.3">
      <c r="A4" s="4" t="s">
        <v>13</v>
      </c>
      <c r="B4" s="34" t="s">
        <v>109</v>
      </c>
      <c r="C4" s="6" t="s">
        <v>8</v>
      </c>
      <c r="D4" s="6" t="s">
        <v>15</v>
      </c>
      <c r="E4" s="6" t="s">
        <v>10</v>
      </c>
      <c r="F4" s="6" t="s">
        <v>63</v>
      </c>
      <c r="G4" s="6" t="s">
        <v>12</v>
      </c>
      <c r="H4" s="6">
        <v>222</v>
      </c>
      <c r="I4" s="7">
        <v>11457</v>
      </c>
      <c r="J4" s="8">
        <f>Table3[[#This Row],[DAILY TOTAL SALES]]*7</f>
        <v>80199</v>
      </c>
      <c r="K4" s="2" t="s">
        <v>299</v>
      </c>
    </row>
    <row r="5" spans="1:11" x14ac:dyDescent="0.3">
      <c r="A5" s="4" t="s">
        <v>21</v>
      </c>
      <c r="B5" s="34" t="s">
        <v>86</v>
      </c>
      <c r="C5" s="6" t="s">
        <v>8</v>
      </c>
      <c r="D5" s="6" t="s">
        <v>9</v>
      </c>
      <c r="E5" s="6" t="s">
        <v>10</v>
      </c>
      <c r="F5" s="6" t="s">
        <v>64</v>
      </c>
      <c r="G5" s="6" t="s">
        <v>12</v>
      </c>
      <c r="H5" s="6">
        <v>165</v>
      </c>
      <c r="I5" s="7">
        <v>7452</v>
      </c>
      <c r="J5" s="8">
        <f>Table3[[#This Row],[DAILY TOTAL SALES]]*7</f>
        <v>52164</v>
      </c>
      <c r="K5" s="2" t="s">
        <v>299</v>
      </c>
    </row>
    <row r="6" spans="1:11" x14ac:dyDescent="0.3">
      <c r="A6" s="4" t="s">
        <v>22</v>
      </c>
      <c r="B6" s="34" t="s">
        <v>109</v>
      </c>
      <c r="C6" s="6" t="s">
        <v>8</v>
      </c>
      <c r="D6" s="6" t="s">
        <v>9</v>
      </c>
      <c r="E6" s="6" t="s">
        <v>10</v>
      </c>
      <c r="F6" s="6" t="s">
        <v>65</v>
      </c>
      <c r="G6" s="6" t="s">
        <v>12</v>
      </c>
      <c r="H6" s="6">
        <v>99</v>
      </c>
      <c r="I6" s="7">
        <v>4856</v>
      </c>
      <c r="J6" s="8">
        <f>Table3[[#This Row],[DAILY TOTAL SALES]]*7</f>
        <v>33992</v>
      </c>
      <c r="K6" s="2" t="s">
        <v>299</v>
      </c>
    </row>
    <row r="7" spans="1:11" x14ac:dyDescent="0.3">
      <c r="A7" s="4" t="s">
        <v>23</v>
      </c>
      <c r="B7" s="34" t="s">
        <v>81</v>
      </c>
      <c r="C7" s="6" t="s">
        <v>8</v>
      </c>
      <c r="D7" s="6" t="s">
        <v>9</v>
      </c>
      <c r="E7" s="6" t="s">
        <v>16</v>
      </c>
      <c r="F7" s="6" t="s">
        <v>66</v>
      </c>
      <c r="G7" s="6" t="s">
        <v>12</v>
      </c>
      <c r="H7" s="6">
        <v>56</v>
      </c>
      <c r="I7" s="7">
        <v>4500</v>
      </c>
      <c r="J7" s="8">
        <f>Table3[[#This Row],[DAILY TOTAL SALES]]*7</f>
        <v>31500</v>
      </c>
      <c r="K7" s="2" t="s">
        <v>299</v>
      </c>
    </row>
    <row r="8" spans="1:11" x14ac:dyDescent="0.3">
      <c r="A8" s="4" t="s">
        <v>24</v>
      </c>
      <c r="B8" s="34" t="s">
        <v>109</v>
      </c>
      <c r="C8" s="6" t="s">
        <v>8</v>
      </c>
      <c r="D8" s="6" t="s">
        <v>9</v>
      </c>
      <c r="E8" s="6" t="s">
        <v>10</v>
      </c>
      <c r="F8" s="6" t="s">
        <v>66</v>
      </c>
      <c r="G8" s="6" t="s">
        <v>69</v>
      </c>
      <c r="H8" s="6">
        <v>48</v>
      </c>
      <c r="I8" s="7">
        <v>4156</v>
      </c>
      <c r="J8" s="8">
        <f>Table3[[#This Row],[DAILY TOTAL SALES]]*7</f>
        <v>29092</v>
      </c>
      <c r="K8" s="2" t="s">
        <v>299</v>
      </c>
    </row>
    <row r="9" spans="1:11" x14ac:dyDescent="0.3">
      <c r="A9" s="4" t="s">
        <v>25</v>
      </c>
      <c r="B9" s="34" t="s">
        <v>81</v>
      </c>
      <c r="C9" s="6" t="s">
        <v>8</v>
      </c>
      <c r="D9" s="6" t="s">
        <v>9</v>
      </c>
      <c r="E9" s="6" t="s">
        <v>10</v>
      </c>
      <c r="F9" s="6" t="s">
        <v>62</v>
      </c>
      <c r="G9" s="6" t="s">
        <v>69</v>
      </c>
      <c r="H9" s="6">
        <v>88</v>
      </c>
      <c r="I9" s="7">
        <v>5547</v>
      </c>
      <c r="J9" s="8">
        <f>Table3[[#This Row],[DAILY TOTAL SALES]]*7</f>
        <v>38829</v>
      </c>
      <c r="K9" s="2" t="s">
        <v>299</v>
      </c>
    </row>
    <row r="10" spans="1:11" x14ac:dyDescent="0.3">
      <c r="A10" s="4" t="s">
        <v>26</v>
      </c>
      <c r="B10" s="34" t="s">
        <v>83</v>
      </c>
      <c r="C10" s="6" t="s">
        <v>8</v>
      </c>
      <c r="D10" s="6" t="s">
        <v>9</v>
      </c>
      <c r="E10" s="6" t="s">
        <v>14</v>
      </c>
      <c r="F10" s="6" t="s">
        <v>64</v>
      </c>
      <c r="G10" s="6" t="s">
        <v>69</v>
      </c>
      <c r="H10" s="6">
        <v>46</v>
      </c>
      <c r="I10" s="7">
        <v>3987</v>
      </c>
      <c r="J10" s="8">
        <f>Table3[[#This Row],[DAILY TOTAL SALES]]*7</f>
        <v>27909</v>
      </c>
      <c r="K10" s="2" t="s">
        <v>299</v>
      </c>
    </row>
    <row r="11" spans="1:11" x14ac:dyDescent="0.3">
      <c r="A11" s="4" t="s">
        <v>27</v>
      </c>
      <c r="B11" s="34" t="s">
        <v>80</v>
      </c>
      <c r="C11" s="6" t="s">
        <v>8</v>
      </c>
      <c r="D11" s="6" t="s">
        <v>9</v>
      </c>
      <c r="E11" s="6" t="s">
        <v>14</v>
      </c>
      <c r="F11" s="6" t="s">
        <v>64</v>
      </c>
      <c r="G11" s="6" t="s">
        <v>69</v>
      </c>
      <c r="H11" s="6">
        <v>145</v>
      </c>
      <c r="I11" s="7">
        <v>6547</v>
      </c>
      <c r="J11" s="8">
        <f>Table3[[#This Row],[DAILY TOTAL SALES]]*7</f>
        <v>45829</v>
      </c>
      <c r="K11" s="2" t="s">
        <v>299</v>
      </c>
    </row>
    <row r="12" spans="1:11" x14ac:dyDescent="0.3">
      <c r="A12" s="4" t="s">
        <v>28</v>
      </c>
      <c r="B12" s="34" t="s">
        <v>82</v>
      </c>
      <c r="C12" s="6" t="s">
        <v>8</v>
      </c>
      <c r="D12" s="6" t="s">
        <v>9</v>
      </c>
      <c r="E12" s="6" t="s">
        <v>10</v>
      </c>
      <c r="F12" s="6" t="s">
        <v>67</v>
      </c>
      <c r="G12" s="6" t="s">
        <v>69</v>
      </c>
      <c r="H12" s="6">
        <v>255</v>
      </c>
      <c r="I12" s="7">
        <v>12475</v>
      </c>
      <c r="J12" s="8">
        <f>Table3[[#This Row],[DAILY TOTAL SALES]]*7</f>
        <v>87325</v>
      </c>
      <c r="K12" s="2" t="s">
        <v>299</v>
      </c>
    </row>
    <row r="13" spans="1:11" x14ac:dyDescent="0.3">
      <c r="A13" s="4" t="s">
        <v>29</v>
      </c>
      <c r="B13" s="34" t="s">
        <v>307</v>
      </c>
      <c r="C13" s="6" t="s">
        <v>8</v>
      </c>
      <c r="D13" s="6" t="s">
        <v>233</v>
      </c>
      <c r="E13" s="6" t="s">
        <v>10</v>
      </c>
      <c r="F13" s="6" t="s">
        <v>62</v>
      </c>
      <c r="G13" s="6" t="s">
        <v>69</v>
      </c>
      <c r="H13" s="6">
        <v>212</v>
      </c>
      <c r="I13" s="7">
        <v>10778</v>
      </c>
      <c r="J13" s="8">
        <f>Table3[[#This Row],[DAILY TOTAL SALES]]*7</f>
        <v>75446</v>
      </c>
      <c r="K13" s="2" t="s">
        <v>299</v>
      </c>
    </row>
    <row r="14" spans="1:11" x14ac:dyDescent="0.3">
      <c r="A14" s="4" t="s">
        <v>30</v>
      </c>
      <c r="B14" s="34" t="s">
        <v>109</v>
      </c>
      <c r="C14" s="6" t="s">
        <v>8</v>
      </c>
      <c r="D14" s="6" t="s">
        <v>233</v>
      </c>
      <c r="E14" s="6" t="s">
        <v>14</v>
      </c>
      <c r="F14" s="6" t="s">
        <v>62</v>
      </c>
      <c r="G14" s="6" t="s">
        <v>12</v>
      </c>
      <c r="H14" s="6">
        <v>202</v>
      </c>
      <c r="I14" s="7">
        <v>10899</v>
      </c>
      <c r="J14" s="8">
        <f>Table3[[#This Row],[DAILY TOTAL SALES]]*7</f>
        <v>76293</v>
      </c>
      <c r="K14" s="2" t="s">
        <v>299</v>
      </c>
    </row>
    <row r="15" spans="1:11" x14ac:dyDescent="0.3">
      <c r="A15" s="4" t="s">
        <v>31</v>
      </c>
      <c r="B15" s="34" t="s">
        <v>85</v>
      </c>
      <c r="C15" s="6" t="s">
        <v>8</v>
      </c>
      <c r="D15" s="6" t="s">
        <v>233</v>
      </c>
      <c r="E15" s="6" t="s">
        <v>10</v>
      </c>
      <c r="F15" s="6" t="s">
        <v>62</v>
      </c>
      <c r="G15" s="6" t="s">
        <v>12</v>
      </c>
      <c r="H15" s="6">
        <v>155</v>
      </c>
      <c r="I15" s="7">
        <v>9500</v>
      </c>
      <c r="J15" s="8">
        <f>Table3[[#This Row],[DAILY TOTAL SALES]]*7</f>
        <v>66500</v>
      </c>
      <c r="K15" s="2" t="s">
        <v>299</v>
      </c>
    </row>
    <row r="16" spans="1:11" x14ac:dyDescent="0.3">
      <c r="A16" s="4" t="s">
        <v>32</v>
      </c>
      <c r="B16" s="34" t="s">
        <v>81</v>
      </c>
      <c r="C16" s="6" t="s">
        <v>8</v>
      </c>
      <c r="D16" s="6" t="s">
        <v>233</v>
      </c>
      <c r="E16" s="6" t="s">
        <v>14</v>
      </c>
      <c r="F16" s="6" t="s">
        <v>67</v>
      </c>
      <c r="G16" s="6" t="s">
        <v>12</v>
      </c>
      <c r="H16" s="6">
        <v>111</v>
      </c>
      <c r="I16" s="7">
        <v>6545</v>
      </c>
      <c r="J16" s="8">
        <f>Table3[[#This Row],[DAILY TOTAL SALES]]*7</f>
        <v>45815</v>
      </c>
      <c r="K16" s="2" t="s">
        <v>299</v>
      </c>
    </row>
    <row r="17" spans="1:11" x14ac:dyDescent="0.3">
      <c r="A17" s="4" t="s">
        <v>33</v>
      </c>
      <c r="B17" s="34" t="s">
        <v>80</v>
      </c>
      <c r="C17" s="6" t="s">
        <v>8</v>
      </c>
      <c r="D17" s="6" t="s">
        <v>233</v>
      </c>
      <c r="E17" s="6" t="s">
        <v>10</v>
      </c>
      <c r="F17" s="6" t="s">
        <v>67</v>
      </c>
      <c r="G17" s="6" t="s">
        <v>12</v>
      </c>
      <c r="H17" s="6">
        <v>199</v>
      </c>
      <c r="I17" s="7">
        <v>9963</v>
      </c>
      <c r="J17" s="8">
        <f>Table3[[#This Row],[DAILY TOTAL SALES]]*7</f>
        <v>69741</v>
      </c>
      <c r="K17" s="2" t="s">
        <v>299</v>
      </c>
    </row>
    <row r="18" spans="1:11" x14ac:dyDescent="0.3">
      <c r="A18" s="4" t="s">
        <v>34</v>
      </c>
      <c r="B18" s="34" t="s">
        <v>168</v>
      </c>
      <c r="C18" s="6" t="s">
        <v>8</v>
      </c>
      <c r="D18" s="6" t="s">
        <v>233</v>
      </c>
      <c r="E18" s="6" t="s">
        <v>10</v>
      </c>
      <c r="F18" s="6" t="s">
        <v>67</v>
      </c>
      <c r="G18" s="6" t="s">
        <v>12</v>
      </c>
      <c r="H18" s="6">
        <v>55</v>
      </c>
      <c r="I18" s="7">
        <v>4656</v>
      </c>
      <c r="J18" s="8">
        <f>Table3[[#This Row],[DAILY TOTAL SALES]]*7</f>
        <v>32592</v>
      </c>
      <c r="K18" s="2" t="s">
        <v>299</v>
      </c>
    </row>
    <row r="19" spans="1:11" x14ac:dyDescent="0.3">
      <c r="A19" s="4" t="s">
        <v>35</v>
      </c>
      <c r="B19" s="34" t="s">
        <v>168</v>
      </c>
      <c r="C19" s="6" t="s">
        <v>8</v>
      </c>
      <c r="D19" s="6" t="s">
        <v>233</v>
      </c>
      <c r="E19" s="6" t="s">
        <v>14</v>
      </c>
      <c r="F19" s="6" t="s">
        <v>62</v>
      </c>
      <c r="G19" s="6" t="s">
        <v>12</v>
      </c>
      <c r="H19" s="6">
        <v>45</v>
      </c>
      <c r="I19" s="7">
        <v>3758</v>
      </c>
      <c r="J19" s="8">
        <f>Table3[[#This Row],[DAILY TOTAL SALES]]*7</f>
        <v>26306</v>
      </c>
      <c r="K19" s="2" t="s">
        <v>299</v>
      </c>
    </row>
    <row r="20" spans="1:11" x14ac:dyDescent="0.3">
      <c r="A20" s="4" t="s">
        <v>36</v>
      </c>
      <c r="B20" s="34" t="s">
        <v>108</v>
      </c>
      <c r="C20" s="6" t="s">
        <v>8</v>
      </c>
      <c r="D20" s="6" t="s">
        <v>233</v>
      </c>
      <c r="E20" s="6" t="s">
        <v>14</v>
      </c>
      <c r="F20" s="6" t="s">
        <v>64</v>
      </c>
      <c r="G20" s="6" t="s">
        <v>12</v>
      </c>
      <c r="H20" s="6">
        <v>96</v>
      </c>
      <c r="I20" s="7">
        <v>5587</v>
      </c>
      <c r="J20" s="8">
        <f>Table3[[#This Row],[DAILY TOTAL SALES]]*7</f>
        <v>39109</v>
      </c>
      <c r="K20" s="6" t="s">
        <v>298</v>
      </c>
    </row>
    <row r="21" spans="1:11" x14ac:dyDescent="0.3">
      <c r="A21" s="4" t="s">
        <v>35</v>
      </c>
      <c r="B21" s="34" t="s">
        <v>308</v>
      </c>
      <c r="C21" s="6" t="s">
        <v>8</v>
      </c>
      <c r="D21" s="6" t="s">
        <v>233</v>
      </c>
      <c r="E21" s="6" t="s">
        <v>16</v>
      </c>
      <c r="F21" s="6" t="s">
        <v>64</v>
      </c>
      <c r="G21" s="6" t="s">
        <v>12</v>
      </c>
      <c r="H21" s="6">
        <v>42</v>
      </c>
      <c r="I21" s="7">
        <v>4787</v>
      </c>
      <c r="J21" s="8">
        <f>Table3[[#This Row],[DAILY TOTAL SALES]]*7</f>
        <v>33509</v>
      </c>
      <c r="K21" s="6" t="s">
        <v>298</v>
      </c>
    </row>
    <row r="22" spans="1:11" x14ac:dyDescent="0.3">
      <c r="A22" s="4" t="s">
        <v>37</v>
      </c>
      <c r="B22" s="34" t="s">
        <v>171</v>
      </c>
      <c r="C22" s="6" t="s">
        <v>8</v>
      </c>
      <c r="D22" s="6" t="s">
        <v>233</v>
      </c>
      <c r="E22" s="6" t="s">
        <v>14</v>
      </c>
      <c r="F22" s="6" t="s">
        <v>62</v>
      </c>
      <c r="G22" s="6" t="s">
        <v>12</v>
      </c>
      <c r="H22" s="6">
        <v>27</v>
      </c>
      <c r="I22" s="7">
        <v>2998</v>
      </c>
      <c r="J22" s="8">
        <f>Table3[[#This Row],[DAILY TOTAL SALES]]*7</f>
        <v>20986</v>
      </c>
      <c r="K22" s="6" t="s">
        <v>298</v>
      </c>
    </row>
    <row r="23" spans="1:11" x14ac:dyDescent="0.3">
      <c r="A23" s="4" t="s">
        <v>38</v>
      </c>
      <c r="B23" s="34" t="s">
        <v>80</v>
      </c>
      <c r="C23" s="6" t="s">
        <v>8</v>
      </c>
      <c r="D23" s="6" t="s">
        <v>233</v>
      </c>
      <c r="E23" s="6" t="s">
        <v>18</v>
      </c>
      <c r="F23" s="6" t="s">
        <v>62</v>
      </c>
      <c r="G23" s="6" t="s">
        <v>12</v>
      </c>
      <c r="H23" s="6">
        <v>55</v>
      </c>
      <c r="I23" s="7">
        <v>5789</v>
      </c>
      <c r="J23" s="8">
        <f>Table3[[#This Row],[DAILY TOTAL SALES]]*7</f>
        <v>40523</v>
      </c>
      <c r="K23" s="6" t="s">
        <v>298</v>
      </c>
    </row>
    <row r="24" spans="1:11" x14ac:dyDescent="0.3">
      <c r="A24" s="4" t="s">
        <v>39</v>
      </c>
      <c r="B24" s="34" t="s">
        <v>80</v>
      </c>
      <c r="C24" s="6" t="s">
        <v>8</v>
      </c>
      <c r="D24" s="6" t="s">
        <v>233</v>
      </c>
      <c r="E24" s="6" t="s">
        <v>10</v>
      </c>
      <c r="F24" s="6" t="s">
        <v>62</v>
      </c>
      <c r="G24" s="6" t="s">
        <v>12</v>
      </c>
      <c r="H24" s="6">
        <v>255</v>
      </c>
      <c r="I24" s="7">
        <v>14000</v>
      </c>
      <c r="J24" s="8">
        <f>Table3[[#This Row],[DAILY TOTAL SALES]]*7</f>
        <v>98000</v>
      </c>
      <c r="K24" s="6" t="s">
        <v>298</v>
      </c>
    </row>
    <row r="25" spans="1:11" x14ac:dyDescent="0.3">
      <c r="A25" s="4" t="s">
        <v>40</v>
      </c>
      <c r="B25" s="34" t="s">
        <v>80</v>
      </c>
      <c r="C25" s="6" t="s">
        <v>8</v>
      </c>
      <c r="D25" s="6" t="s">
        <v>233</v>
      </c>
      <c r="E25" s="6" t="s">
        <v>14</v>
      </c>
      <c r="F25" s="6" t="s">
        <v>62</v>
      </c>
      <c r="G25" s="6" t="s">
        <v>12</v>
      </c>
      <c r="H25" s="6">
        <v>155</v>
      </c>
      <c r="I25" s="7">
        <v>8750</v>
      </c>
      <c r="J25" s="8">
        <f>Table3[[#This Row],[DAILY TOTAL SALES]]*7</f>
        <v>61250</v>
      </c>
      <c r="K25" s="6" t="s">
        <v>298</v>
      </c>
    </row>
    <row r="26" spans="1:11" x14ac:dyDescent="0.3">
      <c r="A26" s="4" t="s">
        <v>41</v>
      </c>
      <c r="B26" s="34" t="s">
        <v>80</v>
      </c>
      <c r="C26" s="6" t="s">
        <v>8</v>
      </c>
      <c r="D26" s="6" t="s">
        <v>233</v>
      </c>
      <c r="E26" s="6" t="s">
        <v>14</v>
      </c>
      <c r="F26" s="6" t="s">
        <v>62</v>
      </c>
      <c r="G26" s="6" t="s">
        <v>12</v>
      </c>
      <c r="H26" s="6">
        <v>78</v>
      </c>
      <c r="I26" s="7">
        <v>4000</v>
      </c>
      <c r="J26" s="8">
        <f>Table3[[#This Row],[DAILY TOTAL SALES]]*7</f>
        <v>28000</v>
      </c>
      <c r="K26" s="6" t="s">
        <v>298</v>
      </c>
    </row>
    <row r="27" spans="1:11" x14ac:dyDescent="0.3">
      <c r="A27" s="4" t="s">
        <v>42</v>
      </c>
      <c r="B27" s="34" t="s">
        <v>83</v>
      </c>
      <c r="C27" s="6" t="s">
        <v>8</v>
      </c>
      <c r="D27" s="6" t="s">
        <v>9</v>
      </c>
      <c r="E27" s="6" t="s">
        <v>16</v>
      </c>
      <c r="F27" s="6" t="s">
        <v>62</v>
      </c>
      <c r="G27" s="6" t="s">
        <v>12</v>
      </c>
      <c r="H27" s="6">
        <v>178</v>
      </c>
      <c r="I27" s="7">
        <v>8787</v>
      </c>
      <c r="J27" s="8">
        <f>Table3[[#This Row],[DAILY TOTAL SALES]]*7</f>
        <v>61509</v>
      </c>
      <c r="K27" s="6" t="s">
        <v>298</v>
      </c>
    </row>
    <row r="28" spans="1:11" x14ac:dyDescent="0.3">
      <c r="A28" s="4" t="s">
        <v>42</v>
      </c>
      <c r="B28" s="34" t="s">
        <v>83</v>
      </c>
      <c r="C28" s="6" t="s">
        <v>8</v>
      </c>
      <c r="D28" s="6" t="s">
        <v>9</v>
      </c>
      <c r="E28" s="6" t="s">
        <v>14</v>
      </c>
      <c r="F28" s="6" t="s">
        <v>67</v>
      </c>
      <c r="G28" s="6" t="s">
        <v>12</v>
      </c>
      <c r="H28" s="6">
        <v>123</v>
      </c>
      <c r="I28" s="7">
        <v>7880</v>
      </c>
      <c r="J28" s="8">
        <f>Table3[[#This Row],[DAILY TOTAL SALES]]*7</f>
        <v>55160</v>
      </c>
      <c r="K28" s="6" t="s">
        <v>298</v>
      </c>
    </row>
    <row r="29" spans="1:11" x14ac:dyDescent="0.3">
      <c r="A29" s="4" t="s">
        <v>43</v>
      </c>
      <c r="B29" s="34" t="s">
        <v>171</v>
      </c>
      <c r="C29" s="6" t="s">
        <v>8</v>
      </c>
      <c r="D29" s="6" t="s">
        <v>9</v>
      </c>
      <c r="E29" s="6" t="s">
        <v>18</v>
      </c>
      <c r="F29" s="6" t="s">
        <v>67</v>
      </c>
      <c r="G29" s="6" t="s">
        <v>12</v>
      </c>
      <c r="H29" s="6">
        <v>128</v>
      </c>
      <c r="I29" s="7">
        <v>7200</v>
      </c>
      <c r="J29" s="8">
        <f>Table3[[#This Row],[DAILY TOTAL SALES]]*7</f>
        <v>50400</v>
      </c>
      <c r="K29" s="6" t="s">
        <v>298</v>
      </c>
    </row>
    <row r="30" spans="1:11" x14ac:dyDescent="0.3">
      <c r="A30" s="4" t="s">
        <v>17</v>
      </c>
      <c r="B30" s="34" t="s">
        <v>308</v>
      </c>
      <c r="C30" s="6" t="s">
        <v>8</v>
      </c>
      <c r="D30" s="6" t="s">
        <v>9</v>
      </c>
      <c r="E30" s="6" t="s">
        <v>10</v>
      </c>
      <c r="F30" s="6" t="s">
        <v>67</v>
      </c>
      <c r="G30" s="6" t="s">
        <v>12</v>
      </c>
      <c r="H30" s="6">
        <v>189</v>
      </c>
      <c r="I30" s="7">
        <v>9700</v>
      </c>
      <c r="J30" s="8">
        <f>Table3[[#This Row],[DAILY TOTAL SALES]]*7</f>
        <v>67900</v>
      </c>
      <c r="K30" s="6" t="s">
        <v>298</v>
      </c>
    </row>
    <row r="31" spans="1:11" x14ac:dyDescent="0.3">
      <c r="A31" s="4" t="s">
        <v>44</v>
      </c>
      <c r="B31" s="34" t="s">
        <v>309</v>
      </c>
      <c r="C31" s="6" t="s">
        <v>8</v>
      </c>
      <c r="D31" s="6" t="s">
        <v>9</v>
      </c>
      <c r="E31" s="6" t="s">
        <v>14</v>
      </c>
      <c r="F31" s="6" t="s">
        <v>67</v>
      </c>
      <c r="G31" s="6" t="s">
        <v>12</v>
      </c>
      <c r="H31" s="6">
        <v>215</v>
      </c>
      <c r="I31" s="7">
        <v>11850</v>
      </c>
      <c r="J31" s="8">
        <f>Table3[[#This Row],[DAILY TOTAL SALES]]*7</f>
        <v>82950</v>
      </c>
      <c r="K31" s="6" t="s">
        <v>298</v>
      </c>
    </row>
    <row r="32" spans="1:11" x14ac:dyDescent="0.3">
      <c r="A32" s="4" t="s">
        <v>45</v>
      </c>
      <c r="B32" s="34" t="s">
        <v>310</v>
      </c>
      <c r="C32" s="6" t="s">
        <v>8</v>
      </c>
      <c r="D32" s="6" t="s">
        <v>9</v>
      </c>
      <c r="E32" s="6" t="s">
        <v>14</v>
      </c>
      <c r="F32" s="6" t="s">
        <v>67</v>
      </c>
      <c r="G32" s="6" t="s">
        <v>12</v>
      </c>
      <c r="H32" s="6">
        <v>156</v>
      </c>
      <c r="I32" s="7">
        <v>8500</v>
      </c>
      <c r="J32" s="8">
        <f>Table3[[#This Row],[DAILY TOTAL SALES]]*7</f>
        <v>59500</v>
      </c>
      <c r="K32" s="6" t="s">
        <v>298</v>
      </c>
    </row>
    <row r="33" spans="1:11" x14ac:dyDescent="0.3">
      <c r="A33" s="4" t="s">
        <v>46</v>
      </c>
      <c r="B33" s="34" t="s">
        <v>170</v>
      </c>
      <c r="C33" s="6" t="s">
        <v>8</v>
      </c>
      <c r="D33" s="6" t="s">
        <v>16</v>
      </c>
      <c r="E33" s="6" t="s">
        <v>10</v>
      </c>
      <c r="F33" s="6" t="s">
        <v>67</v>
      </c>
      <c r="G33" s="6" t="s">
        <v>12</v>
      </c>
      <c r="H33" s="6">
        <v>144</v>
      </c>
      <c r="I33" s="7">
        <v>10283.666666666701</v>
      </c>
      <c r="J33" s="8">
        <f>Table3[[#This Row],[DAILY TOTAL SALES]]*7</f>
        <v>71985.666666666904</v>
      </c>
      <c r="K33" s="6" t="s">
        <v>298</v>
      </c>
    </row>
    <row r="34" spans="1:11" x14ac:dyDescent="0.3">
      <c r="A34" s="4" t="s">
        <v>47</v>
      </c>
      <c r="B34" s="34" t="s">
        <v>311</v>
      </c>
      <c r="C34" s="6" t="s">
        <v>8</v>
      </c>
      <c r="D34" s="6" t="s">
        <v>15</v>
      </c>
      <c r="E34" s="6" t="s">
        <v>10</v>
      </c>
      <c r="F34" s="6" t="s">
        <v>67</v>
      </c>
      <c r="G34" s="6" t="s">
        <v>12</v>
      </c>
      <c r="H34" s="6">
        <v>166</v>
      </c>
      <c r="I34" s="7">
        <v>10654.380952381</v>
      </c>
      <c r="J34" s="8">
        <f>Table3[[#This Row],[DAILY TOTAL SALES]]*7</f>
        <v>74580.666666666992</v>
      </c>
      <c r="K34" s="6" t="s">
        <v>300</v>
      </c>
    </row>
    <row r="35" spans="1:11" x14ac:dyDescent="0.3">
      <c r="A35" s="4" t="s">
        <v>48</v>
      </c>
      <c r="B35" s="34" t="s">
        <v>80</v>
      </c>
      <c r="C35" s="6" t="s">
        <v>8</v>
      </c>
      <c r="D35" s="6" t="s">
        <v>233</v>
      </c>
      <c r="E35" s="6" t="s">
        <v>10</v>
      </c>
      <c r="F35" s="6" t="s">
        <v>67</v>
      </c>
      <c r="G35" s="6" t="s">
        <v>12</v>
      </c>
      <c r="H35" s="6">
        <v>177</v>
      </c>
      <c r="I35" s="7">
        <v>11025.0952380952</v>
      </c>
      <c r="J35" s="8">
        <f>Table3[[#This Row],[DAILY TOTAL SALES]]*7</f>
        <v>77175.666666666395</v>
      </c>
      <c r="K35" s="6" t="s">
        <v>300</v>
      </c>
    </row>
    <row r="36" spans="1:11" x14ac:dyDescent="0.3">
      <c r="A36" s="4" t="s">
        <v>49</v>
      </c>
      <c r="B36" s="34" t="s">
        <v>312</v>
      </c>
      <c r="C36" s="6" t="s">
        <v>8</v>
      </c>
      <c r="D36" s="6" t="s">
        <v>233</v>
      </c>
      <c r="E36" s="6" t="s">
        <v>10</v>
      </c>
      <c r="F36" s="6" t="s">
        <v>67</v>
      </c>
      <c r="G36" s="6" t="s">
        <v>12</v>
      </c>
      <c r="H36" s="6">
        <v>211</v>
      </c>
      <c r="I36" s="7">
        <v>11395.809523809499</v>
      </c>
      <c r="J36" s="8">
        <f>Table3[[#This Row],[DAILY TOTAL SALES]]*7</f>
        <v>79770.666666666497</v>
      </c>
      <c r="K36" s="6" t="s">
        <v>300</v>
      </c>
    </row>
    <row r="37" spans="1:11" x14ac:dyDescent="0.3">
      <c r="A37" s="4" t="s">
        <v>49</v>
      </c>
      <c r="B37" s="34" t="s">
        <v>166</v>
      </c>
      <c r="C37" s="6" t="s">
        <v>8</v>
      </c>
      <c r="D37" s="6" t="s">
        <v>233</v>
      </c>
      <c r="E37" s="6" t="s">
        <v>10</v>
      </c>
      <c r="F37" s="6" t="s">
        <v>68</v>
      </c>
      <c r="G37" s="6" t="s">
        <v>12</v>
      </c>
      <c r="H37" s="6">
        <v>216</v>
      </c>
      <c r="I37" s="7">
        <v>11766.5238095238</v>
      </c>
      <c r="J37" s="8">
        <f>Table3[[#This Row],[DAILY TOTAL SALES]]*7</f>
        <v>82365.666666666599</v>
      </c>
      <c r="K37" s="6" t="s">
        <v>300</v>
      </c>
    </row>
    <row r="38" spans="1:11" x14ac:dyDescent="0.3">
      <c r="A38" s="4" t="s">
        <v>49</v>
      </c>
      <c r="B38" s="34" t="s">
        <v>313</v>
      </c>
      <c r="C38" s="6" t="s">
        <v>8</v>
      </c>
      <c r="D38" s="6" t="s">
        <v>233</v>
      </c>
      <c r="E38" s="6" t="s">
        <v>10</v>
      </c>
      <c r="F38" s="6" t="s">
        <v>67</v>
      </c>
      <c r="G38" s="6" t="s">
        <v>12</v>
      </c>
      <c r="H38" s="6">
        <v>119</v>
      </c>
      <c r="I38" s="7">
        <v>8000</v>
      </c>
      <c r="J38" s="8">
        <f>Table3[[#This Row],[DAILY TOTAL SALES]]*7</f>
        <v>56000</v>
      </c>
      <c r="K38" s="6" t="s">
        <v>300</v>
      </c>
    </row>
    <row r="39" spans="1:11" x14ac:dyDescent="0.3">
      <c r="A39" s="4" t="s">
        <v>49</v>
      </c>
      <c r="B39" s="34" t="s">
        <v>312</v>
      </c>
      <c r="C39" s="6" t="s">
        <v>8</v>
      </c>
      <c r="D39" s="6" t="s">
        <v>233</v>
      </c>
      <c r="E39" s="6" t="s">
        <v>10</v>
      </c>
      <c r="F39" s="6" t="s">
        <v>62</v>
      </c>
      <c r="G39" s="6" t="s">
        <v>12</v>
      </c>
      <c r="H39" s="6">
        <v>233</v>
      </c>
      <c r="I39" s="7">
        <v>12545</v>
      </c>
      <c r="J39" s="8">
        <f>Table3[[#This Row],[DAILY TOTAL SALES]]*7</f>
        <v>87815</v>
      </c>
      <c r="K39" s="6" t="s">
        <v>300</v>
      </c>
    </row>
    <row r="40" spans="1:11" x14ac:dyDescent="0.3">
      <c r="A40" s="4" t="s">
        <v>50</v>
      </c>
      <c r="B40" s="34" t="s">
        <v>312</v>
      </c>
      <c r="C40" s="6" t="s">
        <v>8</v>
      </c>
      <c r="D40" s="6" t="s">
        <v>233</v>
      </c>
      <c r="E40" s="6" t="s">
        <v>10</v>
      </c>
      <c r="F40" s="6" t="s">
        <v>69</v>
      </c>
      <c r="G40" s="6" t="s">
        <v>12</v>
      </c>
      <c r="H40" s="6">
        <v>223</v>
      </c>
      <c r="I40" s="7">
        <v>13200</v>
      </c>
      <c r="J40" s="8">
        <f>Table3[[#This Row],[DAILY TOTAL SALES]]*7</f>
        <v>92400</v>
      </c>
      <c r="K40" s="6" t="s">
        <v>300</v>
      </c>
    </row>
    <row r="41" spans="1:11" x14ac:dyDescent="0.3">
      <c r="A41" s="4" t="s">
        <v>51</v>
      </c>
      <c r="B41" s="34" t="s">
        <v>312</v>
      </c>
      <c r="C41" s="6" t="s">
        <v>8</v>
      </c>
      <c r="D41" s="6" t="s">
        <v>233</v>
      </c>
      <c r="E41" s="6" t="s">
        <v>10</v>
      </c>
      <c r="F41" s="6" t="s">
        <v>69</v>
      </c>
      <c r="G41" s="6" t="s">
        <v>12</v>
      </c>
      <c r="H41" s="6">
        <v>169</v>
      </c>
      <c r="I41" s="7">
        <v>9400</v>
      </c>
      <c r="J41" s="8">
        <f>Table3[[#This Row],[DAILY TOTAL SALES]]*7</f>
        <v>65800</v>
      </c>
      <c r="K41" s="6" t="s">
        <v>300</v>
      </c>
    </row>
    <row r="42" spans="1:11" x14ac:dyDescent="0.3">
      <c r="A42" s="4" t="s">
        <v>52</v>
      </c>
      <c r="B42" s="34" t="s">
        <v>312</v>
      </c>
      <c r="C42" s="6" t="s">
        <v>8</v>
      </c>
      <c r="D42" s="6" t="s">
        <v>233</v>
      </c>
      <c r="E42" s="6" t="s">
        <v>10</v>
      </c>
      <c r="F42" s="6" t="s">
        <v>70</v>
      </c>
      <c r="G42" s="6" t="s">
        <v>12</v>
      </c>
      <c r="H42" s="6">
        <v>196</v>
      </c>
      <c r="I42" s="7">
        <v>9990</v>
      </c>
      <c r="J42" s="8">
        <f>Table3[[#This Row],[DAILY TOTAL SALES]]*7</f>
        <v>69930</v>
      </c>
      <c r="K42" s="6" t="s">
        <v>300</v>
      </c>
    </row>
    <row r="43" spans="1:11" x14ac:dyDescent="0.3">
      <c r="A43" s="4" t="s">
        <v>53</v>
      </c>
      <c r="B43" s="34" t="s">
        <v>312</v>
      </c>
      <c r="C43" s="6" t="s">
        <v>8</v>
      </c>
      <c r="D43" s="6" t="s">
        <v>233</v>
      </c>
      <c r="E43" s="6" t="s">
        <v>10</v>
      </c>
      <c r="F43" s="6" t="s">
        <v>71</v>
      </c>
      <c r="G43" s="6" t="s">
        <v>12</v>
      </c>
      <c r="H43" s="6">
        <v>188</v>
      </c>
      <c r="I43" s="7">
        <v>9840</v>
      </c>
      <c r="J43" s="8">
        <f>Table3[[#This Row],[DAILY TOTAL SALES]]*7</f>
        <v>68880</v>
      </c>
      <c r="K43" s="6" t="s">
        <v>300</v>
      </c>
    </row>
    <row r="44" spans="1:11" x14ac:dyDescent="0.3">
      <c r="A44" s="4" t="s">
        <v>54</v>
      </c>
      <c r="B44" s="34" t="s">
        <v>312</v>
      </c>
      <c r="C44" s="6" t="s">
        <v>8</v>
      </c>
      <c r="D44" s="6" t="s">
        <v>233</v>
      </c>
      <c r="E44" s="6" t="s">
        <v>10</v>
      </c>
      <c r="F44" s="6" t="s">
        <v>62</v>
      </c>
      <c r="G44" s="6" t="s">
        <v>12</v>
      </c>
      <c r="H44" s="6">
        <v>57</v>
      </c>
      <c r="I44" s="7">
        <v>4521</v>
      </c>
      <c r="J44" s="8">
        <f>Table3[[#This Row],[DAILY TOTAL SALES]]*7</f>
        <v>31647</v>
      </c>
      <c r="K44" s="6" t="s">
        <v>300</v>
      </c>
    </row>
    <row r="45" spans="1:11" x14ac:dyDescent="0.3">
      <c r="A45" s="4" t="s">
        <v>55</v>
      </c>
      <c r="B45" s="34" t="s">
        <v>312</v>
      </c>
      <c r="C45" s="6" t="s">
        <v>8</v>
      </c>
      <c r="D45" s="6" t="s">
        <v>9</v>
      </c>
      <c r="E45" s="6" t="s">
        <v>10</v>
      </c>
      <c r="F45" s="6" t="s">
        <v>62</v>
      </c>
      <c r="G45" s="6" t="s">
        <v>12</v>
      </c>
      <c r="H45" s="6">
        <v>75</v>
      </c>
      <c r="I45" s="7">
        <v>6541</v>
      </c>
      <c r="J45" s="8">
        <f>Table3[[#This Row],[DAILY TOTAL SALES]]*7</f>
        <v>45787</v>
      </c>
      <c r="K45" s="6" t="s">
        <v>300</v>
      </c>
    </row>
    <row r="46" spans="1:11" x14ac:dyDescent="0.3">
      <c r="A46" s="4" t="s">
        <v>56</v>
      </c>
      <c r="B46" s="34" t="s">
        <v>312</v>
      </c>
      <c r="C46" s="6" t="s">
        <v>8</v>
      </c>
      <c r="D46" s="6" t="s">
        <v>9</v>
      </c>
      <c r="E46" s="6" t="s">
        <v>10</v>
      </c>
      <c r="F46" s="6" t="s">
        <v>62</v>
      </c>
      <c r="G46" s="6" t="s">
        <v>12</v>
      </c>
      <c r="H46" s="6">
        <v>95</v>
      </c>
      <c r="I46" s="7">
        <v>7845</v>
      </c>
      <c r="J46" s="8">
        <f>Table3[[#This Row],[DAILY TOTAL SALES]]*7</f>
        <v>54915</v>
      </c>
      <c r="K46" s="6" t="s">
        <v>300</v>
      </c>
    </row>
    <row r="47" spans="1:11" x14ac:dyDescent="0.3">
      <c r="A47" s="4" t="s">
        <v>57</v>
      </c>
      <c r="B47" s="34" t="s">
        <v>312</v>
      </c>
      <c r="C47" s="6" t="s">
        <v>8</v>
      </c>
      <c r="D47" s="6" t="s">
        <v>9</v>
      </c>
      <c r="E47" s="6" t="s">
        <v>10</v>
      </c>
      <c r="F47" s="6" t="s">
        <v>67</v>
      </c>
      <c r="G47" s="6" t="s">
        <v>12</v>
      </c>
      <c r="H47" s="6">
        <v>59</v>
      </c>
      <c r="I47" s="7">
        <v>4500</v>
      </c>
      <c r="J47" s="8">
        <f>Table3[[#This Row],[DAILY TOTAL SALES]]*7</f>
        <v>31500</v>
      </c>
      <c r="K47" s="6" t="s">
        <v>300</v>
      </c>
    </row>
    <row r="48" spans="1:11" x14ac:dyDescent="0.3">
      <c r="A48" s="4" t="s">
        <v>58</v>
      </c>
      <c r="B48" s="34" t="s">
        <v>312</v>
      </c>
      <c r="C48" s="6" t="s">
        <v>8</v>
      </c>
      <c r="D48" s="6" t="s">
        <v>9</v>
      </c>
      <c r="E48" s="6" t="s">
        <v>10</v>
      </c>
      <c r="F48" s="6" t="s">
        <v>67</v>
      </c>
      <c r="G48" s="6" t="s">
        <v>12</v>
      </c>
      <c r="H48" s="6">
        <v>53</v>
      </c>
      <c r="I48" s="7">
        <v>4450</v>
      </c>
      <c r="J48" s="8">
        <f>Table3[[#This Row],[DAILY TOTAL SALES]]*7</f>
        <v>31150</v>
      </c>
      <c r="K48" s="6" t="s">
        <v>300</v>
      </c>
    </row>
    <row r="49" spans="1:11" x14ac:dyDescent="0.3">
      <c r="A49" s="4" t="s">
        <v>59</v>
      </c>
      <c r="B49" s="34" t="s">
        <v>312</v>
      </c>
      <c r="C49" s="6" t="s">
        <v>8</v>
      </c>
      <c r="D49" s="6" t="s">
        <v>9</v>
      </c>
      <c r="E49" s="6" t="s">
        <v>10</v>
      </c>
      <c r="F49" s="6" t="s">
        <v>11</v>
      </c>
      <c r="G49" s="6" t="s">
        <v>12</v>
      </c>
      <c r="H49" s="6">
        <v>39</v>
      </c>
      <c r="I49" s="7">
        <v>3500</v>
      </c>
      <c r="J49" s="8">
        <f>Table3[[#This Row],[DAILY TOTAL SALES]]*7</f>
        <v>24500</v>
      </c>
      <c r="K49" s="6" t="s">
        <v>292</v>
      </c>
    </row>
    <row r="50" spans="1:11" x14ac:dyDescent="0.3">
      <c r="A50" s="4" t="s">
        <v>60</v>
      </c>
      <c r="B50" s="34" t="s">
        <v>312</v>
      </c>
      <c r="C50" s="6" t="s">
        <v>8</v>
      </c>
      <c r="D50" s="6" t="s">
        <v>9</v>
      </c>
      <c r="E50" s="6" t="s">
        <v>14</v>
      </c>
      <c r="F50" s="6" t="s">
        <v>11</v>
      </c>
      <c r="G50" s="6" t="s">
        <v>12</v>
      </c>
      <c r="H50" s="6">
        <v>45</v>
      </c>
      <c r="I50" s="7">
        <v>9870</v>
      </c>
      <c r="J50" s="8">
        <f>Table3[[#This Row],[DAILY TOTAL SALES]]*7</f>
        <v>69090</v>
      </c>
      <c r="K50" s="6" t="s">
        <v>292</v>
      </c>
    </row>
    <row r="51" spans="1:11" x14ac:dyDescent="0.3">
      <c r="A51" s="9" t="s">
        <v>61</v>
      </c>
      <c r="B51" s="34" t="s">
        <v>312</v>
      </c>
      <c r="C51" s="11" t="s">
        <v>8</v>
      </c>
      <c r="D51" s="11" t="s">
        <v>9</v>
      </c>
      <c r="E51" s="11" t="s">
        <v>14</v>
      </c>
      <c r="F51" s="11" t="s">
        <v>11</v>
      </c>
      <c r="G51" s="11" t="s">
        <v>12</v>
      </c>
      <c r="H51" s="11">
        <v>185</v>
      </c>
      <c r="I51" s="12">
        <v>9870</v>
      </c>
      <c r="J51" s="13">
        <f>Table3[[#This Row],[DAILY TOTAL SALES]]*7</f>
        <v>69090</v>
      </c>
      <c r="K51" s="6" t="s">
        <v>292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EB8D-6F45-4EFC-860B-8BCBECA98CA6}">
  <dimension ref="A1:K46"/>
  <sheetViews>
    <sheetView zoomScale="61" zoomScaleNormal="55" workbookViewId="0">
      <selection activeCell="K2" sqref="K2:K46"/>
    </sheetView>
  </sheetViews>
  <sheetFormatPr defaultRowHeight="14.4" x14ac:dyDescent="0.3"/>
  <cols>
    <col min="1" max="1" width="18.5546875" customWidth="1"/>
    <col min="2" max="2" width="28.6640625" customWidth="1"/>
    <col min="3" max="3" width="20.6640625" customWidth="1"/>
    <col min="4" max="4" width="35.33203125" customWidth="1"/>
    <col min="5" max="5" width="33.6640625" customWidth="1"/>
    <col min="6" max="6" width="33.21875" customWidth="1"/>
    <col min="7" max="7" width="28.6640625" customWidth="1"/>
    <col min="8" max="8" width="24.109375" customWidth="1"/>
    <col min="9" max="9" width="25.109375" customWidth="1"/>
    <col min="10" max="10" width="23.77734375" customWidth="1"/>
    <col min="11" max="11" width="39.8867187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303</v>
      </c>
      <c r="E1" s="2" t="s">
        <v>305</v>
      </c>
      <c r="F1" s="2" t="s">
        <v>302</v>
      </c>
      <c r="G1" s="2" t="s">
        <v>4</v>
      </c>
      <c r="H1" s="2" t="s">
        <v>6</v>
      </c>
      <c r="I1" s="2" t="s">
        <v>7</v>
      </c>
      <c r="J1" s="3" t="s">
        <v>304</v>
      </c>
      <c r="K1" s="2" t="s">
        <v>301</v>
      </c>
    </row>
    <row r="2" spans="1:11" x14ac:dyDescent="0.3">
      <c r="A2" s="16" t="s">
        <v>72</v>
      </c>
      <c r="B2" s="6" t="s">
        <v>73</v>
      </c>
      <c r="C2" s="6" t="s">
        <v>92</v>
      </c>
      <c r="D2" s="6" t="s">
        <v>9</v>
      </c>
      <c r="E2" s="6" t="s">
        <v>18</v>
      </c>
      <c r="F2" s="6" t="s">
        <v>62</v>
      </c>
      <c r="G2" s="6" t="s">
        <v>67</v>
      </c>
      <c r="H2" s="6">
        <v>98</v>
      </c>
      <c r="I2" s="5">
        <v>6762</v>
      </c>
      <c r="J2" s="17">
        <f>Table2[[#This Row],[DAILY TOTAL SALES]]*7</f>
        <v>47334</v>
      </c>
      <c r="K2" s="2" t="s">
        <v>292</v>
      </c>
    </row>
    <row r="3" spans="1:11" x14ac:dyDescent="0.3">
      <c r="A3" s="16" t="s">
        <v>72</v>
      </c>
      <c r="B3" s="6" t="s">
        <v>90</v>
      </c>
      <c r="C3" s="6" t="s">
        <v>92</v>
      </c>
      <c r="D3" s="6" t="s">
        <v>9</v>
      </c>
      <c r="E3" s="6" t="s">
        <v>18</v>
      </c>
      <c r="F3" s="6" t="s">
        <v>62</v>
      </c>
      <c r="G3" s="6" t="s">
        <v>67</v>
      </c>
      <c r="H3" s="6">
        <v>45</v>
      </c>
      <c r="I3" s="5">
        <v>3105</v>
      </c>
      <c r="J3" s="17">
        <f>Table2[[#This Row],[DAILY TOTAL SALES]]*7</f>
        <v>21735</v>
      </c>
      <c r="K3" s="2" t="s">
        <v>292</v>
      </c>
    </row>
    <row r="4" spans="1:11" x14ac:dyDescent="0.3">
      <c r="A4" s="16" t="s">
        <v>72</v>
      </c>
      <c r="B4" s="6" t="s">
        <v>74</v>
      </c>
      <c r="C4" s="6" t="s">
        <v>92</v>
      </c>
      <c r="D4" s="6" t="s">
        <v>9</v>
      </c>
      <c r="E4" s="6" t="s">
        <v>18</v>
      </c>
      <c r="F4" s="6" t="s">
        <v>62</v>
      </c>
      <c r="G4" s="6" t="s">
        <v>67</v>
      </c>
      <c r="H4" s="6">
        <v>78</v>
      </c>
      <c r="I4" s="5">
        <v>5382</v>
      </c>
      <c r="J4" s="17">
        <f>Table2[[#This Row],[DAILY TOTAL SALES]]*7</f>
        <v>37674</v>
      </c>
      <c r="K4" s="2" t="s">
        <v>292</v>
      </c>
    </row>
    <row r="5" spans="1:11" x14ac:dyDescent="0.3">
      <c r="A5" s="16" t="s">
        <v>72</v>
      </c>
      <c r="B5" s="6" t="s">
        <v>75</v>
      </c>
      <c r="C5" s="6" t="s">
        <v>92</v>
      </c>
      <c r="D5" s="6" t="s">
        <v>110</v>
      </c>
      <c r="E5" s="6" t="s">
        <v>18</v>
      </c>
      <c r="F5" s="6" t="s">
        <v>62</v>
      </c>
      <c r="G5" s="6" t="s">
        <v>67</v>
      </c>
      <c r="H5" s="6">
        <v>152</v>
      </c>
      <c r="I5" s="5">
        <v>10488</v>
      </c>
      <c r="J5" s="17">
        <f>Table2[[#This Row],[DAILY TOTAL SALES]]*7</f>
        <v>73416</v>
      </c>
      <c r="K5" s="2" t="s">
        <v>292</v>
      </c>
    </row>
    <row r="6" spans="1:11" x14ac:dyDescent="0.3">
      <c r="A6" s="16" t="s">
        <v>72</v>
      </c>
      <c r="B6" s="6" t="s">
        <v>76</v>
      </c>
      <c r="C6" s="6" t="s">
        <v>92</v>
      </c>
      <c r="D6" s="6" t="s">
        <v>110</v>
      </c>
      <c r="E6" s="6" t="s">
        <v>18</v>
      </c>
      <c r="F6" s="6" t="s">
        <v>62</v>
      </c>
      <c r="G6" s="6" t="s">
        <v>67</v>
      </c>
      <c r="H6" s="6">
        <v>44</v>
      </c>
      <c r="I6" s="5">
        <v>3036</v>
      </c>
      <c r="J6" s="17">
        <f>Table2[[#This Row],[DAILY TOTAL SALES]]*7</f>
        <v>21252</v>
      </c>
      <c r="K6" s="2" t="s">
        <v>292</v>
      </c>
    </row>
    <row r="7" spans="1:11" x14ac:dyDescent="0.3">
      <c r="A7" s="16" t="s">
        <v>77</v>
      </c>
      <c r="B7" s="18" t="s">
        <v>91</v>
      </c>
      <c r="C7" s="6" t="s">
        <v>92</v>
      </c>
      <c r="D7" s="6" t="s">
        <v>9</v>
      </c>
      <c r="E7" s="6" t="s">
        <v>18</v>
      </c>
      <c r="F7" s="6" t="s">
        <v>62</v>
      </c>
      <c r="G7" s="6" t="s">
        <v>67</v>
      </c>
      <c r="H7" s="6">
        <v>66</v>
      </c>
      <c r="I7" s="5">
        <v>4554</v>
      </c>
      <c r="J7" s="17">
        <f>Table2[[#This Row],[DAILY TOTAL SALES]]*7</f>
        <v>31878</v>
      </c>
      <c r="K7" s="2" t="s">
        <v>292</v>
      </c>
    </row>
    <row r="8" spans="1:11" x14ac:dyDescent="0.3">
      <c r="A8" s="16" t="s">
        <v>77</v>
      </c>
      <c r="B8" s="18" t="s">
        <v>79</v>
      </c>
      <c r="C8" s="6" t="s">
        <v>92</v>
      </c>
      <c r="D8" s="6" t="s">
        <v>9</v>
      </c>
      <c r="E8" s="6" t="s">
        <v>18</v>
      </c>
      <c r="F8" s="6" t="s">
        <v>62</v>
      </c>
      <c r="G8" s="6" t="s">
        <v>67</v>
      </c>
      <c r="H8" s="6">
        <v>122</v>
      </c>
      <c r="I8" s="5">
        <v>8418</v>
      </c>
      <c r="J8" s="17">
        <f>Table2[[#This Row],[DAILY TOTAL SALES]]*7</f>
        <v>58926</v>
      </c>
      <c r="K8" s="2" t="s">
        <v>292</v>
      </c>
    </row>
    <row r="9" spans="1:11" x14ac:dyDescent="0.3">
      <c r="A9" s="16" t="s">
        <v>77</v>
      </c>
      <c r="B9" s="18" t="s">
        <v>74</v>
      </c>
      <c r="C9" s="6" t="s">
        <v>92</v>
      </c>
      <c r="D9" s="6" t="s">
        <v>9</v>
      </c>
      <c r="E9" s="6" t="s">
        <v>18</v>
      </c>
      <c r="F9" s="6" t="s">
        <v>62</v>
      </c>
      <c r="G9" s="6" t="s">
        <v>67</v>
      </c>
      <c r="H9" s="6">
        <v>111</v>
      </c>
      <c r="I9" s="5">
        <v>7659</v>
      </c>
      <c r="J9" s="17">
        <f>Table2[[#This Row],[DAILY TOTAL SALES]]*7</f>
        <v>53613</v>
      </c>
      <c r="K9" s="2" t="s">
        <v>292</v>
      </c>
    </row>
    <row r="10" spans="1:11" x14ac:dyDescent="0.3">
      <c r="A10" s="16" t="s">
        <v>77</v>
      </c>
      <c r="B10" s="18" t="s">
        <v>80</v>
      </c>
      <c r="C10" s="6" t="s">
        <v>92</v>
      </c>
      <c r="D10" s="6" t="s">
        <v>9</v>
      </c>
      <c r="E10" s="6" t="s">
        <v>18</v>
      </c>
      <c r="F10" s="6" t="s">
        <v>62</v>
      </c>
      <c r="G10" s="6" t="s">
        <v>67</v>
      </c>
      <c r="H10" s="6">
        <v>59</v>
      </c>
      <c r="I10" s="5">
        <v>4071</v>
      </c>
      <c r="J10" s="17">
        <f>Table2[[#This Row],[DAILY TOTAL SALES]]*7</f>
        <v>28497</v>
      </c>
      <c r="K10" s="2" t="s">
        <v>292</v>
      </c>
    </row>
    <row r="11" spans="1:11" x14ac:dyDescent="0.3">
      <c r="A11" s="16" t="s">
        <v>77</v>
      </c>
      <c r="B11" s="18" t="s">
        <v>81</v>
      </c>
      <c r="C11" s="6" t="s">
        <v>92</v>
      </c>
      <c r="D11" s="6" t="s">
        <v>9</v>
      </c>
      <c r="E11" s="6" t="s">
        <v>18</v>
      </c>
      <c r="F11" s="6" t="s">
        <v>62</v>
      </c>
      <c r="G11" s="6" t="s">
        <v>115</v>
      </c>
      <c r="H11" s="6">
        <v>36</v>
      </c>
      <c r="I11" s="5">
        <v>2484</v>
      </c>
      <c r="J11" s="17">
        <f>Table2[[#This Row],[DAILY TOTAL SALES]]*7</f>
        <v>17388</v>
      </c>
      <c r="K11" s="2" t="s">
        <v>292</v>
      </c>
    </row>
    <row r="12" spans="1:11" x14ac:dyDescent="0.3">
      <c r="A12" s="16" t="s">
        <v>77</v>
      </c>
      <c r="B12" s="18" t="s">
        <v>82</v>
      </c>
      <c r="C12" s="6" t="s">
        <v>92</v>
      </c>
      <c r="D12" s="6" t="s">
        <v>233</v>
      </c>
      <c r="E12" s="6" t="s">
        <v>18</v>
      </c>
      <c r="F12" s="6" t="s">
        <v>62</v>
      </c>
      <c r="G12" s="6" t="s">
        <v>115</v>
      </c>
      <c r="H12" s="6">
        <v>79</v>
      </c>
      <c r="I12" s="5">
        <v>5451</v>
      </c>
      <c r="J12" s="17">
        <f>Table2[[#This Row],[DAILY TOTAL SALES]]*7</f>
        <v>38157</v>
      </c>
      <c r="K12" s="2" t="s">
        <v>292</v>
      </c>
    </row>
    <row r="13" spans="1:11" x14ac:dyDescent="0.3">
      <c r="A13" s="16" t="s">
        <v>77</v>
      </c>
      <c r="B13" s="18" t="s">
        <v>83</v>
      </c>
      <c r="C13" s="6" t="s">
        <v>92</v>
      </c>
      <c r="D13" s="6" t="s">
        <v>233</v>
      </c>
      <c r="E13" s="6" t="s">
        <v>18</v>
      </c>
      <c r="F13" s="6" t="s">
        <v>62</v>
      </c>
      <c r="G13" s="6" t="s">
        <v>116</v>
      </c>
      <c r="H13" s="6">
        <v>88</v>
      </c>
      <c r="I13" s="5">
        <v>6072</v>
      </c>
      <c r="J13" s="17">
        <f>Table2[[#This Row],[DAILY TOTAL SALES]]*7</f>
        <v>42504</v>
      </c>
      <c r="K13" s="2" t="s">
        <v>292</v>
      </c>
    </row>
    <row r="14" spans="1:11" x14ac:dyDescent="0.3">
      <c r="A14" s="16" t="s">
        <v>77</v>
      </c>
      <c r="B14" s="18" t="s">
        <v>84</v>
      </c>
      <c r="C14" s="6" t="s">
        <v>92</v>
      </c>
      <c r="D14" s="6" t="s">
        <v>233</v>
      </c>
      <c r="E14" s="6" t="s">
        <v>18</v>
      </c>
      <c r="F14" s="6" t="s">
        <v>62</v>
      </c>
      <c r="G14" s="6" t="s">
        <v>115</v>
      </c>
      <c r="H14" s="6">
        <v>103</v>
      </c>
      <c r="I14" s="5">
        <v>7107</v>
      </c>
      <c r="J14" s="17">
        <f>Table2[[#This Row],[DAILY TOTAL SALES]]*7</f>
        <v>49749</v>
      </c>
      <c r="K14" s="2" t="s">
        <v>292</v>
      </c>
    </row>
    <row r="15" spans="1:11" x14ac:dyDescent="0.3">
      <c r="A15" s="16" t="s">
        <v>77</v>
      </c>
      <c r="B15" s="18" t="s">
        <v>85</v>
      </c>
      <c r="C15" s="6" t="s">
        <v>92</v>
      </c>
      <c r="D15" s="6" t="s">
        <v>233</v>
      </c>
      <c r="E15" s="6" t="s">
        <v>18</v>
      </c>
      <c r="F15" s="6" t="s">
        <v>62</v>
      </c>
      <c r="G15" s="6" t="s">
        <v>69</v>
      </c>
      <c r="H15" s="6">
        <v>189</v>
      </c>
      <c r="I15" s="5">
        <v>13041</v>
      </c>
      <c r="J15" s="17">
        <f>Table2[[#This Row],[DAILY TOTAL SALES]]*7</f>
        <v>91287</v>
      </c>
      <c r="K15" s="2" t="s">
        <v>292</v>
      </c>
    </row>
    <row r="16" spans="1:11" x14ac:dyDescent="0.3">
      <c r="A16" s="16" t="s">
        <v>77</v>
      </c>
      <c r="B16" s="18" t="s">
        <v>89</v>
      </c>
      <c r="C16" s="6" t="s">
        <v>92</v>
      </c>
      <c r="D16" s="6" t="s">
        <v>233</v>
      </c>
      <c r="E16" s="6" t="s">
        <v>18</v>
      </c>
      <c r="F16" s="6" t="s">
        <v>62</v>
      </c>
      <c r="G16" s="6" t="s">
        <v>69</v>
      </c>
      <c r="H16" s="6">
        <v>199</v>
      </c>
      <c r="I16" s="5">
        <v>13731</v>
      </c>
      <c r="J16" s="17">
        <f>Table2[[#This Row],[DAILY TOTAL SALES]]*7</f>
        <v>96117</v>
      </c>
      <c r="K16" s="2" t="s">
        <v>292</v>
      </c>
    </row>
    <row r="17" spans="1:11" x14ac:dyDescent="0.3">
      <c r="A17" s="16" t="s">
        <v>77</v>
      </c>
      <c r="B17" s="18" t="s">
        <v>87</v>
      </c>
      <c r="C17" s="6" t="s">
        <v>92</v>
      </c>
      <c r="D17" s="6" t="s">
        <v>233</v>
      </c>
      <c r="E17" s="6" t="s">
        <v>18</v>
      </c>
      <c r="F17" s="6" t="s">
        <v>62</v>
      </c>
      <c r="G17" s="6" t="s">
        <v>69</v>
      </c>
      <c r="H17" s="6">
        <v>45</v>
      </c>
      <c r="I17" s="5">
        <v>3105</v>
      </c>
      <c r="J17" s="17">
        <f>Table2[[#This Row],[DAILY TOTAL SALES]]*7</f>
        <v>21735</v>
      </c>
      <c r="K17" s="2" t="s">
        <v>292</v>
      </c>
    </row>
    <row r="18" spans="1:11" x14ac:dyDescent="0.3">
      <c r="A18" s="16" t="s">
        <v>77</v>
      </c>
      <c r="B18" s="18" t="s">
        <v>88</v>
      </c>
      <c r="C18" s="6" t="s">
        <v>92</v>
      </c>
      <c r="D18" s="6" t="s">
        <v>233</v>
      </c>
      <c r="E18" s="6" t="s">
        <v>18</v>
      </c>
      <c r="F18" s="6" t="s">
        <v>62</v>
      </c>
      <c r="G18" s="6" t="s">
        <v>69</v>
      </c>
      <c r="H18" s="6">
        <v>85</v>
      </c>
      <c r="I18" s="5">
        <v>5865</v>
      </c>
      <c r="J18" s="17">
        <f>Table2[[#This Row],[DAILY TOTAL SALES]]*7</f>
        <v>41055</v>
      </c>
      <c r="K18" s="2" t="s">
        <v>292</v>
      </c>
    </row>
    <row r="19" spans="1:11" x14ac:dyDescent="0.3">
      <c r="A19" s="16" t="s">
        <v>77</v>
      </c>
      <c r="B19" s="18" t="s">
        <v>86</v>
      </c>
      <c r="C19" s="6" t="s">
        <v>92</v>
      </c>
      <c r="D19" s="6" t="s">
        <v>233</v>
      </c>
      <c r="E19" s="6" t="s">
        <v>18</v>
      </c>
      <c r="F19" s="6" t="s">
        <v>62</v>
      </c>
      <c r="G19" s="6" t="s">
        <v>69</v>
      </c>
      <c r="H19" s="6">
        <v>66</v>
      </c>
      <c r="I19" s="5">
        <v>4554</v>
      </c>
      <c r="J19" s="17">
        <f>Table2[[#This Row],[DAILY TOTAL SALES]]*7</f>
        <v>31878</v>
      </c>
      <c r="K19" s="2" t="s">
        <v>292</v>
      </c>
    </row>
    <row r="20" spans="1:11" x14ac:dyDescent="0.3">
      <c r="A20" s="16" t="s">
        <v>93</v>
      </c>
      <c r="B20" s="18" t="s">
        <v>73</v>
      </c>
      <c r="C20" s="6" t="s">
        <v>92</v>
      </c>
      <c r="D20" s="6" t="s">
        <v>233</v>
      </c>
      <c r="E20" s="6" t="s">
        <v>18</v>
      </c>
      <c r="F20" s="6" t="s">
        <v>64</v>
      </c>
      <c r="G20" s="6" t="s">
        <v>69</v>
      </c>
      <c r="H20" s="6">
        <v>91</v>
      </c>
      <c r="I20" s="5">
        <v>6279</v>
      </c>
      <c r="J20" s="17">
        <f>Table2[[#This Row],[DAILY TOTAL SALES]]*7</f>
        <v>43953</v>
      </c>
      <c r="K20" s="2" t="s">
        <v>292</v>
      </c>
    </row>
    <row r="21" spans="1:11" x14ac:dyDescent="0.3">
      <c r="A21" s="16" t="s">
        <v>93</v>
      </c>
      <c r="B21" s="18" t="s">
        <v>74</v>
      </c>
      <c r="C21" s="6" t="s">
        <v>92</v>
      </c>
      <c r="D21" s="6" t="s">
        <v>233</v>
      </c>
      <c r="E21" s="6" t="s">
        <v>18</v>
      </c>
      <c r="F21" s="6" t="s">
        <v>64</v>
      </c>
      <c r="G21" s="6" t="s">
        <v>67</v>
      </c>
      <c r="H21" s="6">
        <v>115</v>
      </c>
      <c r="I21" s="5">
        <v>7935</v>
      </c>
      <c r="J21" s="17">
        <f>Table2[[#This Row],[DAILY TOTAL SALES]]*7</f>
        <v>55545</v>
      </c>
      <c r="K21" s="2" t="s">
        <v>292</v>
      </c>
    </row>
    <row r="22" spans="1:11" x14ac:dyDescent="0.3">
      <c r="A22" s="16" t="s">
        <v>93</v>
      </c>
      <c r="B22" s="18" t="s">
        <v>94</v>
      </c>
      <c r="C22" s="6" t="s">
        <v>92</v>
      </c>
      <c r="D22" s="6" t="s">
        <v>9</v>
      </c>
      <c r="E22" s="6" t="s">
        <v>18</v>
      </c>
      <c r="F22" s="6" t="s">
        <v>64</v>
      </c>
      <c r="G22" s="6" t="s">
        <v>67</v>
      </c>
      <c r="H22" s="6">
        <v>165</v>
      </c>
      <c r="I22" s="5">
        <v>11385</v>
      </c>
      <c r="J22" s="17">
        <f>Table2[[#This Row],[DAILY TOTAL SALES]]*7</f>
        <v>79695</v>
      </c>
      <c r="K22" s="2" t="s">
        <v>292</v>
      </c>
    </row>
    <row r="23" spans="1:11" x14ac:dyDescent="0.3">
      <c r="A23" s="16" t="s">
        <v>93</v>
      </c>
      <c r="B23" s="18" t="s">
        <v>95</v>
      </c>
      <c r="C23" s="6" t="s">
        <v>92</v>
      </c>
      <c r="D23" s="6" t="s">
        <v>9</v>
      </c>
      <c r="E23" s="6" t="s">
        <v>18</v>
      </c>
      <c r="F23" s="6" t="s">
        <v>64</v>
      </c>
      <c r="G23" s="6" t="s">
        <v>67</v>
      </c>
      <c r="H23" s="6">
        <v>195</v>
      </c>
      <c r="I23" s="5">
        <v>13455</v>
      </c>
      <c r="J23" s="17">
        <f>Table2[[#This Row],[DAILY TOTAL SALES]]*7</f>
        <v>94185</v>
      </c>
      <c r="K23" s="2" t="s">
        <v>292</v>
      </c>
    </row>
    <row r="24" spans="1:11" x14ac:dyDescent="0.3">
      <c r="A24" s="16" t="s">
        <v>93</v>
      </c>
      <c r="B24" s="18" t="s">
        <v>96</v>
      </c>
      <c r="C24" s="6" t="s">
        <v>92</v>
      </c>
      <c r="D24" s="6" t="s">
        <v>9</v>
      </c>
      <c r="E24" s="6" t="s">
        <v>18</v>
      </c>
      <c r="F24" s="6" t="s">
        <v>64</v>
      </c>
      <c r="G24" s="6" t="s">
        <v>115</v>
      </c>
      <c r="H24" s="6">
        <v>157</v>
      </c>
      <c r="I24" s="5">
        <v>10833</v>
      </c>
      <c r="J24" s="17">
        <f>Table2[[#This Row],[DAILY TOTAL SALES]]*7</f>
        <v>75831</v>
      </c>
      <c r="K24" s="2" t="s">
        <v>292</v>
      </c>
    </row>
    <row r="25" spans="1:11" x14ac:dyDescent="0.3">
      <c r="A25" s="16" t="s">
        <v>93</v>
      </c>
      <c r="B25" s="18" t="s">
        <v>82</v>
      </c>
      <c r="C25" s="6" t="s">
        <v>92</v>
      </c>
      <c r="D25" s="6" t="s">
        <v>9</v>
      </c>
      <c r="E25" s="6" t="s">
        <v>18</v>
      </c>
      <c r="F25" s="6" t="s">
        <v>64</v>
      </c>
      <c r="G25" s="6" t="s">
        <v>115</v>
      </c>
      <c r="H25" s="6">
        <v>145</v>
      </c>
      <c r="I25" s="5">
        <v>10005</v>
      </c>
      <c r="J25" s="17">
        <f>Table2[[#This Row],[DAILY TOTAL SALES]]*7</f>
        <v>70035</v>
      </c>
      <c r="K25" s="6" t="s">
        <v>296</v>
      </c>
    </row>
    <row r="26" spans="1:11" x14ac:dyDescent="0.3">
      <c r="A26" s="16" t="s">
        <v>97</v>
      </c>
      <c r="B26" s="18" t="s">
        <v>98</v>
      </c>
      <c r="C26" s="6" t="s">
        <v>92</v>
      </c>
      <c r="D26" s="6" t="s">
        <v>112</v>
      </c>
      <c r="E26" s="6" t="s">
        <v>113</v>
      </c>
      <c r="F26" s="6" t="s">
        <v>64</v>
      </c>
      <c r="G26" s="6" t="s">
        <v>115</v>
      </c>
      <c r="H26" s="6">
        <v>162</v>
      </c>
      <c r="I26" s="5">
        <v>11178</v>
      </c>
      <c r="J26" s="17">
        <f>Table2[[#This Row],[DAILY TOTAL SALES]]*7</f>
        <v>78246</v>
      </c>
      <c r="K26" s="6" t="s">
        <v>296</v>
      </c>
    </row>
    <row r="27" spans="1:11" x14ac:dyDescent="0.3">
      <c r="A27" s="16" t="s">
        <v>97</v>
      </c>
      <c r="B27" s="18" t="s">
        <v>74</v>
      </c>
      <c r="C27" s="6" t="s">
        <v>92</v>
      </c>
      <c r="D27" s="6" t="s">
        <v>112</v>
      </c>
      <c r="E27" s="6" t="s">
        <v>113</v>
      </c>
      <c r="F27" s="6" t="s">
        <v>64</v>
      </c>
      <c r="G27" s="6" t="s">
        <v>115</v>
      </c>
      <c r="H27" s="6">
        <v>135</v>
      </c>
      <c r="I27" s="5">
        <v>9315</v>
      </c>
      <c r="J27" s="17">
        <f>Table2[[#This Row],[DAILY TOTAL SALES]]*7</f>
        <v>65205</v>
      </c>
      <c r="K27" s="6" t="s">
        <v>296</v>
      </c>
    </row>
    <row r="28" spans="1:11" x14ac:dyDescent="0.3">
      <c r="A28" s="16" t="s">
        <v>97</v>
      </c>
      <c r="B28" s="18" t="s">
        <v>73</v>
      </c>
      <c r="C28" s="6" t="s">
        <v>92</v>
      </c>
      <c r="D28" s="6" t="s">
        <v>112</v>
      </c>
      <c r="E28" s="6" t="s">
        <v>113</v>
      </c>
      <c r="F28" s="6" t="s">
        <v>64</v>
      </c>
      <c r="G28" s="6" t="s">
        <v>115</v>
      </c>
      <c r="H28" s="6">
        <v>188</v>
      </c>
      <c r="I28" s="5">
        <v>12972</v>
      </c>
      <c r="J28" s="17">
        <f>Table2[[#This Row],[DAILY TOTAL SALES]]*7</f>
        <v>90804</v>
      </c>
      <c r="K28" s="6" t="s">
        <v>296</v>
      </c>
    </row>
    <row r="29" spans="1:11" x14ac:dyDescent="0.3">
      <c r="A29" s="16" t="s">
        <v>97</v>
      </c>
      <c r="B29" s="18" t="s">
        <v>76</v>
      </c>
      <c r="C29" s="6" t="s">
        <v>92</v>
      </c>
      <c r="D29" s="6" t="s">
        <v>9</v>
      </c>
      <c r="E29" s="6" t="s">
        <v>113</v>
      </c>
      <c r="F29" s="6" t="s">
        <v>64</v>
      </c>
      <c r="G29" s="6" t="s">
        <v>115</v>
      </c>
      <c r="H29" s="6">
        <v>89</v>
      </c>
      <c r="I29" s="5">
        <v>6141</v>
      </c>
      <c r="J29" s="17">
        <f>Table2[[#This Row],[DAILY TOTAL SALES]]*7</f>
        <v>42987</v>
      </c>
      <c r="K29" s="6" t="s">
        <v>296</v>
      </c>
    </row>
    <row r="30" spans="1:11" x14ac:dyDescent="0.3">
      <c r="A30" s="16" t="s">
        <v>97</v>
      </c>
      <c r="B30" s="18" t="s">
        <v>99</v>
      </c>
      <c r="C30" s="6" t="s">
        <v>92</v>
      </c>
      <c r="D30" s="6" t="s">
        <v>9</v>
      </c>
      <c r="E30" s="6" t="s">
        <v>113</v>
      </c>
      <c r="F30" s="6" t="s">
        <v>64</v>
      </c>
      <c r="G30" s="6" t="s">
        <v>67</v>
      </c>
      <c r="H30" s="6">
        <v>48</v>
      </c>
      <c r="I30" s="5">
        <v>3312</v>
      </c>
      <c r="J30" s="17">
        <f>Table2[[#This Row],[DAILY TOTAL SALES]]*7</f>
        <v>23184</v>
      </c>
      <c r="K30" s="6" t="s">
        <v>296</v>
      </c>
    </row>
    <row r="31" spans="1:11" x14ac:dyDescent="0.3">
      <c r="A31" s="16" t="s">
        <v>97</v>
      </c>
      <c r="B31" s="18" t="s">
        <v>85</v>
      </c>
      <c r="C31" s="6" t="s">
        <v>92</v>
      </c>
      <c r="D31" s="6" t="s">
        <v>9</v>
      </c>
      <c r="E31" s="6" t="s">
        <v>113</v>
      </c>
      <c r="F31" s="6" t="s">
        <v>64</v>
      </c>
      <c r="G31" s="6" t="s">
        <v>67</v>
      </c>
      <c r="H31" s="6">
        <v>65</v>
      </c>
      <c r="I31" s="5">
        <v>4457</v>
      </c>
      <c r="J31" s="17">
        <f>Table2[[#This Row],[DAILY TOTAL SALES]]*7</f>
        <v>31199</v>
      </c>
      <c r="K31" s="6" t="s">
        <v>296</v>
      </c>
    </row>
    <row r="32" spans="1:11" x14ac:dyDescent="0.3">
      <c r="A32" s="16" t="s">
        <v>100</v>
      </c>
      <c r="B32" s="18" t="s">
        <v>73</v>
      </c>
      <c r="C32" s="6" t="s">
        <v>92</v>
      </c>
      <c r="D32" s="6" t="s">
        <v>9</v>
      </c>
      <c r="E32" s="6" t="s">
        <v>113</v>
      </c>
      <c r="F32" s="6" t="s">
        <v>64</v>
      </c>
      <c r="G32" s="6" t="s">
        <v>67</v>
      </c>
      <c r="H32" s="6">
        <v>75</v>
      </c>
      <c r="I32" s="5">
        <v>5969</v>
      </c>
      <c r="J32" s="17">
        <f>Table2[[#This Row],[DAILY TOTAL SALES]]*7</f>
        <v>41783</v>
      </c>
      <c r="K32" s="6" t="s">
        <v>296</v>
      </c>
    </row>
    <row r="33" spans="1:11" x14ac:dyDescent="0.3">
      <c r="A33" s="16" t="s">
        <v>100</v>
      </c>
      <c r="B33" s="18" t="s">
        <v>75</v>
      </c>
      <c r="C33" s="6" t="s">
        <v>92</v>
      </c>
      <c r="D33" s="6" t="s">
        <v>9</v>
      </c>
      <c r="E33" s="6" t="s">
        <v>113</v>
      </c>
      <c r="F33" s="6" t="s">
        <v>62</v>
      </c>
      <c r="G33" s="6" t="s">
        <v>67</v>
      </c>
      <c r="H33" s="6">
        <v>45</v>
      </c>
      <c r="I33" s="5">
        <v>3514</v>
      </c>
      <c r="J33" s="17">
        <f>Table2[[#This Row],[DAILY TOTAL SALES]]*7</f>
        <v>24598</v>
      </c>
      <c r="K33" s="6" t="s">
        <v>296</v>
      </c>
    </row>
    <row r="34" spans="1:11" x14ac:dyDescent="0.3">
      <c r="A34" s="16" t="s">
        <v>101</v>
      </c>
      <c r="B34" s="18" t="s">
        <v>74</v>
      </c>
      <c r="C34" s="6" t="s">
        <v>92</v>
      </c>
      <c r="D34" s="6" t="s">
        <v>9</v>
      </c>
      <c r="E34" s="6" t="s">
        <v>113</v>
      </c>
      <c r="F34" s="6" t="s">
        <v>62</v>
      </c>
      <c r="G34" s="6" t="s">
        <v>67</v>
      </c>
      <c r="H34" s="6">
        <v>152</v>
      </c>
      <c r="I34" s="5">
        <v>11452</v>
      </c>
      <c r="J34" s="17">
        <f>Table2[[#This Row],[DAILY TOTAL SALES]]*7</f>
        <v>80164</v>
      </c>
      <c r="K34" s="6" t="s">
        <v>296</v>
      </c>
    </row>
    <row r="35" spans="1:11" x14ac:dyDescent="0.3">
      <c r="A35" s="16" t="s">
        <v>101</v>
      </c>
      <c r="B35" s="18" t="s">
        <v>76</v>
      </c>
      <c r="C35" s="6" t="s">
        <v>92</v>
      </c>
      <c r="D35" s="6" t="s">
        <v>110</v>
      </c>
      <c r="E35" s="6" t="s">
        <v>113</v>
      </c>
      <c r="F35" s="6" t="s">
        <v>62</v>
      </c>
      <c r="G35" s="6" t="s">
        <v>67</v>
      </c>
      <c r="H35" s="6">
        <v>195</v>
      </c>
      <c r="I35" s="5">
        <v>15622</v>
      </c>
      <c r="J35" s="17">
        <f>Table2[[#This Row],[DAILY TOTAL SALES]]*7</f>
        <v>109354</v>
      </c>
      <c r="K35" s="6" t="s">
        <v>296</v>
      </c>
    </row>
    <row r="36" spans="1:11" x14ac:dyDescent="0.3">
      <c r="A36" s="16" t="s">
        <v>102</v>
      </c>
      <c r="B36" s="5" t="s">
        <v>80</v>
      </c>
      <c r="C36" s="6" t="s">
        <v>92</v>
      </c>
      <c r="D36" s="6" t="s">
        <v>110</v>
      </c>
      <c r="E36" s="6" t="s">
        <v>113</v>
      </c>
      <c r="F36" s="6" t="s">
        <v>62</v>
      </c>
      <c r="G36" s="6" t="s">
        <v>67</v>
      </c>
      <c r="H36" s="6">
        <v>75</v>
      </c>
      <c r="I36" s="5">
        <v>8900</v>
      </c>
      <c r="J36" s="17">
        <f>Table2[[#This Row],[DAILY TOTAL SALES]]*7</f>
        <v>62300</v>
      </c>
      <c r="K36" s="6" t="s">
        <v>296</v>
      </c>
    </row>
    <row r="37" spans="1:11" x14ac:dyDescent="0.3">
      <c r="A37" s="16" t="s">
        <v>102</v>
      </c>
      <c r="B37" s="5" t="s">
        <v>81</v>
      </c>
      <c r="C37" s="6" t="s">
        <v>92</v>
      </c>
      <c r="D37" s="6" t="s">
        <v>110</v>
      </c>
      <c r="E37" s="6" t="s">
        <v>113</v>
      </c>
      <c r="F37" s="6" t="s">
        <v>62</v>
      </c>
      <c r="G37" s="6" t="s">
        <v>67</v>
      </c>
      <c r="H37" s="6">
        <v>48</v>
      </c>
      <c r="I37" s="5">
        <v>3314</v>
      </c>
      <c r="J37" s="17">
        <f>Table2[[#This Row],[DAILY TOTAL SALES]]*7</f>
        <v>23198</v>
      </c>
      <c r="K37" s="6" t="s">
        <v>296</v>
      </c>
    </row>
    <row r="38" spans="1:11" x14ac:dyDescent="0.3">
      <c r="A38" s="16" t="s">
        <v>102</v>
      </c>
      <c r="B38" s="5" t="s">
        <v>103</v>
      </c>
      <c r="C38" s="6" t="s">
        <v>92</v>
      </c>
      <c r="D38" s="6" t="s">
        <v>110</v>
      </c>
      <c r="E38" s="6" t="s">
        <v>113</v>
      </c>
      <c r="F38" s="6" t="s">
        <v>62</v>
      </c>
      <c r="G38" s="6" t="s">
        <v>67</v>
      </c>
      <c r="H38" s="6">
        <v>155</v>
      </c>
      <c r="I38" s="5">
        <v>11822</v>
      </c>
      <c r="J38" s="17">
        <f>Table2[[#This Row],[DAILY TOTAL SALES]]*7</f>
        <v>82754</v>
      </c>
      <c r="K38" s="6" t="s">
        <v>296</v>
      </c>
    </row>
    <row r="39" spans="1:11" x14ac:dyDescent="0.3">
      <c r="A39" s="16" t="s">
        <v>102</v>
      </c>
      <c r="B39" s="5" t="s">
        <v>104</v>
      </c>
      <c r="C39" s="6" t="s">
        <v>92</v>
      </c>
      <c r="D39" s="6" t="s">
        <v>111</v>
      </c>
      <c r="E39" s="6" t="s">
        <v>113</v>
      </c>
      <c r="F39" s="6" t="s">
        <v>62</v>
      </c>
      <c r="G39" s="6" t="s">
        <v>67</v>
      </c>
      <c r="H39" s="6">
        <v>164</v>
      </c>
      <c r="I39" s="5">
        <v>11200</v>
      </c>
      <c r="J39" s="17">
        <f>Table2[[#This Row],[DAILY TOTAL SALES]]*7</f>
        <v>78400</v>
      </c>
      <c r="K39" s="6" t="s">
        <v>296</v>
      </c>
    </row>
    <row r="40" spans="1:11" x14ac:dyDescent="0.3">
      <c r="A40" s="16" t="s">
        <v>102</v>
      </c>
      <c r="B40" s="5" t="s">
        <v>105</v>
      </c>
      <c r="C40" s="6" t="s">
        <v>92</v>
      </c>
      <c r="D40" s="6" t="s">
        <v>111</v>
      </c>
      <c r="E40" s="6" t="s">
        <v>113</v>
      </c>
      <c r="F40" s="6" t="s">
        <v>62</v>
      </c>
      <c r="G40" s="6" t="s">
        <v>67</v>
      </c>
      <c r="H40" s="6">
        <v>56</v>
      </c>
      <c r="I40" s="5">
        <v>4560</v>
      </c>
      <c r="J40" s="17">
        <f>Table2[[#This Row],[DAILY TOTAL SALES]]*7</f>
        <v>31920</v>
      </c>
      <c r="K40" s="6" t="s">
        <v>295</v>
      </c>
    </row>
    <row r="41" spans="1:11" x14ac:dyDescent="0.3">
      <c r="A41" s="16" t="s">
        <v>102</v>
      </c>
      <c r="B41" s="5" t="s">
        <v>83</v>
      </c>
      <c r="C41" s="6" t="s">
        <v>92</v>
      </c>
      <c r="D41" s="6" t="s">
        <v>111</v>
      </c>
      <c r="E41" s="6" t="s">
        <v>114</v>
      </c>
      <c r="F41" s="6" t="s">
        <v>62</v>
      </c>
      <c r="G41" s="6" t="s">
        <v>67</v>
      </c>
      <c r="H41" s="6">
        <v>99</v>
      </c>
      <c r="I41" s="5">
        <v>9450</v>
      </c>
      <c r="J41" s="17">
        <f>Table2[[#This Row],[DAILY TOTAL SALES]]*7</f>
        <v>66150</v>
      </c>
      <c r="K41" s="6" t="s">
        <v>295</v>
      </c>
    </row>
    <row r="42" spans="1:11" x14ac:dyDescent="0.3">
      <c r="A42" s="16" t="s">
        <v>102</v>
      </c>
      <c r="B42" s="5" t="s">
        <v>106</v>
      </c>
      <c r="C42" s="6" t="s">
        <v>92</v>
      </c>
      <c r="D42" s="6" t="s">
        <v>111</v>
      </c>
      <c r="E42" s="6" t="s">
        <v>114</v>
      </c>
      <c r="F42" s="6" t="s">
        <v>62</v>
      </c>
      <c r="G42" s="6" t="s">
        <v>67</v>
      </c>
      <c r="H42" s="6">
        <v>193</v>
      </c>
      <c r="I42" s="5">
        <v>14025</v>
      </c>
      <c r="J42" s="17">
        <f>Table2[[#This Row],[DAILY TOTAL SALES]]*7</f>
        <v>98175</v>
      </c>
      <c r="K42" s="6" t="s">
        <v>295</v>
      </c>
    </row>
    <row r="43" spans="1:11" x14ac:dyDescent="0.3">
      <c r="A43" s="16" t="s">
        <v>102</v>
      </c>
      <c r="B43" s="5" t="s">
        <v>85</v>
      </c>
      <c r="C43" s="6" t="s">
        <v>92</v>
      </c>
      <c r="D43" s="6" t="s">
        <v>9</v>
      </c>
      <c r="E43" s="6" t="s">
        <v>114</v>
      </c>
      <c r="F43" s="6" t="s">
        <v>62</v>
      </c>
      <c r="G43" s="6" t="s">
        <v>67</v>
      </c>
      <c r="H43" s="6">
        <v>98</v>
      </c>
      <c r="I43" s="5">
        <v>11200</v>
      </c>
      <c r="J43" s="17">
        <f>Table2[[#This Row],[DAILY TOTAL SALES]]*7</f>
        <v>78400</v>
      </c>
      <c r="K43" s="6" t="s">
        <v>295</v>
      </c>
    </row>
    <row r="44" spans="1:11" x14ac:dyDescent="0.3">
      <c r="A44" s="16" t="s">
        <v>107</v>
      </c>
      <c r="B44" s="5" t="s">
        <v>108</v>
      </c>
      <c r="C44" s="6" t="s">
        <v>92</v>
      </c>
      <c r="D44" s="6" t="s">
        <v>9</v>
      </c>
      <c r="E44" s="6" t="s">
        <v>114</v>
      </c>
      <c r="F44" s="6" t="s">
        <v>62</v>
      </c>
      <c r="G44" s="6" t="s">
        <v>67</v>
      </c>
      <c r="H44" s="6">
        <v>78</v>
      </c>
      <c r="I44" s="5">
        <v>8945</v>
      </c>
      <c r="J44" s="17">
        <f>Table2[[#This Row],[DAILY TOTAL SALES]]*7</f>
        <v>62615</v>
      </c>
      <c r="K44" s="6" t="s">
        <v>295</v>
      </c>
    </row>
    <row r="45" spans="1:11" x14ac:dyDescent="0.3">
      <c r="A45" s="16" t="s">
        <v>107</v>
      </c>
      <c r="B45" s="5" t="s">
        <v>109</v>
      </c>
      <c r="C45" s="6" t="s">
        <v>92</v>
      </c>
      <c r="D45" s="6" t="s">
        <v>9</v>
      </c>
      <c r="E45" s="6" t="s">
        <v>114</v>
      </c>
      <c r="F45" s="6" t="s">
        <v>62</v>
      </c>
      <c r="G45" s="6" t="s">
        <v>67</v>
      </c>
      <c r="H45" s="6">
        <v>115</v>
      </c>
      <c r="I45" s="5">
        <v>11780</v>
      </c>
      <c r="J45" s="17">
        <f>Table2[[#This Row],[DAILY TOTAL SALES]]*7</f>
        <v>82460</v>
      </c>
      <c r="K45" s="6" t="s">
        <v>295</v>
      </c>
    </row>
    <row r="46" spans="1:11" x14ac:dyDescent="0.3">
      <c r="A46" s="15" t="s">
        <v>107</v>
      </c>
      <c r="B46" s="10" t="s">
        <v>106</v>
      </c>
      <c r="C46" s="11" t="s">
        <v>92</v>
      </c>
      <c r="D46" s="11" t="s">
        <v>9</v>
      </c>
      <c r="E46" s="11" t="s">
        <v>114</v>
      </c>
      <c r="F46" s="11" t="s">
        <v>62</v>
      </c>
      <c r="G46" s="11" t="s">
        <v>67</v>
      </c>
      <c r="H46" s="11">
        <v>67</v>
      </c>
      <c r="I46" s="10">
        <v>4600</v>
      </c>
      <c r="J46" s="14">
        <f>Table2[[#This Row],[DAILY TOTAL SALES]]*7</f>
        <v>32200</v>
      </c>
      <c r="K46" s="6" t="s">
        <v>295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4C60-002C-43B9-A7C7-9DE216EC118B}">
  <dimension ref="A1:K51"/>
  <sheetViews>
    <sheetView zoomScale="55" zoomScaleNormal="55" workbookViewId="0">
      <selection activeCell="K2" sqref="K2:K51"/>
    </sheetView>
  </sheetViews>
  <sheetFormatPr defaultRowHeight="14.4" x14ac:dyDescent="0.3"/>
  <cols>
    <col min="1" max="1" width="29.109375" customWidth="1"/>
    <col min="2" max="2" width="29.21875" customWidth="1"/>
    <col min="3" max="3" width="16.33203125" customWidth="1"/>
    <col min="4" max="4" width="30.6640625" customWidth="1"/>
    <col min="5" max="5" width="29.21875" customWidth="1"/>
    <col min="6" max="6" width="30" customWidth="1"/>
    <col min="7" max="7" width="28.6640625" customWidth="1"/>
    <col min="8" max="8" width="24.33203125" customWidth="1"/>
    <col min="9" max="9" width="22" customWidth="1"/>
    <col min="10" max="10" width="23.88671875" customWidth="1"/>
    <col min="11" max="11" width="34.2187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303</v>
      </c>
      <c r="E1" s="2" t="s">
        <v>305</v>
      </c>
      <c r="F1" s="2" t="s">
        <v>302</v>
      </c>
      <c r="G1" s="2" t="s">
        <v>4</v>
      </c>
      <c r="H1" s="2" t="s">
        <v>6</v>
      </c>
      <c r="I1" s="2" t="s">
        <v>7</v>
      </c>
      <c r="J1" s="3" t="s">
        <v>304</v>
      </c>
      <c r="K1" s="2" t="s">
        <v>301</v>
      </c>
    </row>
    <row r="2" spans="1:11" x14ac:dyDescent="0.3">
      <c r="A2" s="16" t="s">
        <v>117</v>
      </c>
      <c r="B2" s="19" t="s">
        <v>109</v>
      </c>
      <c r="C2" s="6" t="s">
        <v>175</v>
      </c>
      <c r="D2" s="6" t="s">
        <v>176</v>
      </c>
      <c r="E2" s="6" t="s">
        <v>18</v>
      </c>
      <c r="F2" s="6" t="s">
        <v>62</v>
      </c>
      <c r="G2" s="6" t="s">
        <v>12</v>
      </c>
      <c r="H2" s="6">
        <v>45</v>
      </c>
      <c r="I2" s="6">
        <v>2700</v>
      </c>
      <c r="J2" s="17">
        <f>I2*7</f>
        <v>18900</v>
      </c>
      <c r="K2" s="2" t="s">
        <v>297</v>
      </c>
    </row>
    <row r="3" spans="1:11" x14ac:dyDescent="0.3">
      <c r="A3" s="20" t="s">
        <v>118</v>
      </c>
      <c r="B3" s="19" t="s">
        <v>103</v>
      </c>
      <c r="C3" s="6" t="s">
        <v>175</v>
      </c>
      <c r="D3" s="6" t="s">
        <v>176</v>
      </c>
      <c r="E3" s="6" t="s">
        <v>18</v>
      </c>
      <c r="F3" s="6" t="s">
        <v>62</v>
      </c>
      <c r="G3" s="6" t="s">
        <v>12</v>
      </c>
      <c r="H3" s="6">
        <v>25</v>
      </c>
      <c r="I3" s="6">
        <v>1500</v>
      </c>
      <c r="J3" s="17">
        <f t="shared" ref="J3:J51" si="0">I3*7</f>
        <v>10500</v>
      </c>
      <c r="K3" s="2" t="s">
        <v>297</v>
      </c>
    </row>
    <row r="4" spans="1:11" x14ac:dyDescent="0.3">
      <c r="A4" s="20" t="s">
        <v>119</v>
      </c>
      <c r="B4" s="19" t="s">
        <v>82</v>
      </c>
      <c r="C4" s="6" t="s">
        <v>175</v>
      </c>
      <c r="D4" s="6" t="s">
        <v>176</v>
      </c>
      <c r="E4" s="6" t="s">
        <v>18</v>
      </c>
      <c r="F4" s="6" t="s">
        <v>62</v>
      </c>
      <c r="G4" s="6" t="s">
        <v>12</v>
      </c>
      <c r="H4" s="6">
        <v>89</v>
      </c>
      <c r="I4" s="6">
        <v>5340</v>
      </c>
      <c r="J4" s="17">
        <f t="shared" si="0"/>
        <v>37380</v>
      </c>
      <c r="K4" s="2" t="s">
        <v>297</v>
      </c>
    </row>
    <row r="5" spans="1:11" x14ac:dyDescent="0.3">
      <c r="A5" s="20" t="s">
        <v>120</v>
      </c>
      <c r="B5" s="19" t="s">
        <v>109</v>
      </c>
      <c r="C5" s="6" t="s">
        <v>175</v>
      </c>
      <c r="D5" s="6" t="s">
        <v>176</v>
      </c>
      <c r="E5" s="6" t="s">
        <v>18</v>
      </c>
      <c r="F5" s="6" t="s">
        <v>62</v>
      </c>
      <c r="G5" s="6" t="s">
        <v>12</v>
      </c>
      <c r="H5" s="6">
        <v>45</v>
      </c>
      <c r="I5" s="6">
        <v>2700</v>
      </c>
      <c r="J5" s="17">
        <f t="shared" si="0"/>
        <v>18900</v>
      </c>
      <c r="K5" s="2" t="s">
        <v>297</v>
      </c>
    </row>
    <row r="6" spans="1:11" x14ac:dyDescent="0.3">
      <c r="A6" s="20" t="s">
        <v>121</v>
      </c>
      <c r="B6" s="19" t="s">
        <v>106</v>
      </c>
      <c r="C6" s="6" t="s">
        <v>175</v>
      </c>
      <c r="D6" s="6" t="s">
        <v>176</v>
      </c>
      <c r="E6" s="6" t="s">
        <v>18</v>
      </c>
      <c r="F6" s="6" t="s">
        <v>62</v>
      </c>
      <c r="G6" s="6" t="s">
        <v>12</v>
      </c>
      <c r="H6" s="6">
        <v>75</v>
      </c>
      <c r="I6" s="6">
        <v>4500</v>
      </c>
      <c r="J6" s="17">
        <f t="shared" si="0"/>
        <v>31500</v>
      </c>
      <c r="K6" s="2" t="s">
        <v>297</v>
      </c>
    </row>
    <row r="7" spans="1:11" x14ac:dyDescent="0.3">
      <c r="A7" s="20" t="s">
        <v>122</v>
      </c>
      <c r="B7" s="19" t="s">
        <v>82</v>
      </c>
      <c r="C7" s="6" t="s">
        <v>175</v>
      </c>
      <c r="D7" s="6" t="s">
        <v>176</v>
      </c>
      <c r="E7" s="6" t="s">
        <v>18</v>
      </c>
      <c r="F7" s="6" t="s">
        <v>62</v>
      </c>
      <c r="G7" s="6" t="s">
        <v>12</v>
      </c>
      <c r="H7" s="6">
        <v>56</v>
      </c>
      <c r="I7" s="6">
        <v>3360</v>
      </c>
      <c r="J7" s="17">
        <f t="shared" si="0"/>
        <v>23520</v>
      </c>
      <c r="K7" s="2" t="s">
        <v>297</v>
      </c>
    </row>
    <row r="8" spans="1:11" x14ac:dyDescent="0.3">
      <c r="A8" s="20" t="s">
        <v>123</v>
      </c>
      <c r="B8" s="19" t="s">
        <v>165</v>
      </c>
      <c r="C8" s="6" t="s">
        <v>175</v>
      </c>
      <c r="D8" s="6" t="s">
        <v>176</v>
      </c>
      <c r="E8" s="6" t="s">
        <v>18</v>
      </c>
      <c r="F8" s="6" t="s">
        <v>62</v>
      </c>
      <c r="G8" s="6" t="s">
        <v>12</v>
      </c>
      <c r="H8" s="6">
        <v>15</v>
      </c>
      <c r="I8" s="6">
        <v>900</v>
      </c>
      <c r="J8" s="17">
        <f t="shared" si="0"/>
        <v>6300</v>
      </c>
      <c r="K8" s="2" t="s">
        <v>297</v>
      </c>
    </row>
    <row r="9" spans="1:11" x14ac:dyDescent="0.3">
      <c r="A9" s="20" t="s">
        <v>124</v>
      </c>
      <c r="B9" s="19" t="s">
        <v>81</v>
      </c>
      <c r="C9" s="6" t="s">
        <v>175</v>
      </c>
      <c r="D9" s="6" t="s">
        <v>178</v>
      </c>
      <c r="E9" s="6" t="s">
        <v>18</v>
      </c>
      <c r="F9" s="6" t="s">
        <v>62</v>
      </c>
      <c r="G9" s="6" t="s">
        <v>12</v>
      </c>
      <c r="H9" s="6">
        <v>89</v>
      </c>
      <c r="I9" s="6">
        <v>5340</v>
      </c>
      <c r="J9" s="17">
        <f t="shared" si="0"/>
        <v>37380</v>
      </c>
      <c r="K9" s="2" t="s">
        <v>297</v>
      </c>
    </row>
    <row r="10" spans="1:11" x14ac:dyDescent="0.3">
      <c r="A10" s="20" t="s">
        <v>125</v>
      </c>
      <c r="B10" s="19" t="s">
        <v>82</v>
      </c>
      <c r="C10" s="6" t="s">
        <v>175</v>
      </c>
      <c r="D10" s="6" t="s">
        <v>178</v>
      </c>
      <c r="E10" s="6" t="s">
        <v>18</v>
      </c>
      <c r="F10" s="6" t="s">
        <v>62</v>
      </c>
      <c r="G10" s="6" t="s">
        <v>12</v>
      </c>
      <c r="H10" s="6">
        <v>45</v>
      </c>
      <c r="I10" s="6">
        <v>2700</v>
      </c>
      <c r="J10" s="17">
        <f t="shared" si="0"/>
        <v>18900</v>
      </c>
      <c r="K10" s="2" t="s">
        <v>297</v>
      </c>
    </row>
    <row r="11" spans="1:11" x14ac:dyDescent="0.3">
      <c r="A11" s="20" t="s">
        <v>126</v>
      </c>
      <c r="B11" s="19" t="s">
        <v>166</v>
      </c>
      <c r="C11" s="6" t="s">
        <v>175</v>
      </c>
      <c r="D11" s="6" t="s">
        <v>178</v>
      </c>
      <c r="E11" s="6" t="s">
        <v>18</v>
      </c>
      <c r="F11" s="6" t="s">
        <v>62</v>
      </c>
      <c r="G11" s="6" t="s">
        <v>12</v>
      </c>
      <c r="H11" s="6">
        <v>63</v>
      </c>
      <c r="I11" s="6">
        <v>3780</v>
      </c>
      <c r="J11" s="17">
        <f t="shared" si="0"/>
        <v>26460</v>
      </c>
      <c r="K11" s="2" t="s">
        <v>297</v>
      </c>
    </row>
    <row r="12" spans="1:11" x14ac:dyDescent="0.3">
      <c r="A12" s="20" t="s">
        <v>127</v>
      </c>
      <c r="B12" s="19" t="s">
        <v>103</v>
      </c>
      <c r="C12" s="6" t="s">
        <v>175</v>
      </c>
      <c r="D12" s="6" t="s">
        <v>178</v>
      </c>
      <c r="E12" s="6" t="s">
        <v>18</v>
      </c>
      <c r="F12" s="6" t="s">
        <v>62</v>
      </c>
      <c r="G12" s="6" t="s">
        <v>12</v>
      </c>
      <c r="H12" s="6">
        <v>55</v>
      </c>
      <c r="I12" s="6">
        <v>3300</v>
      </c>
      <c r="J12" s="17">
        <f t="shared" si="0"/>
        <v>23100</v>
      </c>
      <c r="K12" s="2" t="s">
        <v>297</v>
      </c>
    </row>
    <row r="13" spans="1:11" x14ac:dyDescent="0.3">
      <c r="A13" s="20" t="s">
        <v>128</v>
      </c>
      <c r="B13" s="19" t="s">
        <v>78</v>
      </c>
      <c r="C13" s="6" t="s">
        <v>175</v>
      </c>
      <c r="D13" s="6" t="s">
        <v>178</v>
      </c>
      <c r="E13" s="6" t="s">
        <v>18</v>
      </c>
      <c r="F13" s="6" t="s">
        <v>62</v>
      </c>
      <c r="G13" s="6" t="s">
        <v>12</v>
      </c>
      <c r="H13" s="6">
        <v>88</v>
      </c>
      <c r="I13" s="6">
        <v>5280</v>
      </c>
      <c r="J13" s="17">
        <f t="shared" si="0"/>
        <v>36960</v>
      </c>
      <c r="K13" s="2" t="s">
        <v>297</v>
      </c>
    </row>
    <row r="14" spans="1:11" x14ac:dyDescent="0.3">
      <c r="A14" s="20" t="s">
        <v>129</v>
      </c>
      <c r="B14" s="19" t="s">
        <v>82</v>
      </c>
      <c r="C14" s="6" t="s">
        <v>175</v>
      </c>
      <c r="D14" s="6" t="s">
        <v>178</v>
      </c>
      <c r="E14" s="6" t="s">
        <v>18</v>
      </c>
      <c r="F14" s="6" t="s">
        <v>62</v>
      </c>
      <c r="G14" s="6" t="s">
        <v>12</v>
      </c>
      <c r="H14" s="6">
        <v>89</v>
      </c>
      <c r="I14" s="6">
        <v>5340</v>
      </c>
      <c r="J14" s="17">
        <f t="shared" si="0"/>
        <v>37380</v>
      </c>
      <c r="K14" s="2" t="s">
        <v>297</v>
      </c>
    </row>
    <row r="15" spans="1:11" x14ac:dyDescent="0.3">
      <c r="A15" s="20" t="s">
        <v>130</v>
      </c>
      <c r="B15" s="19" t="s">
        <v>109</v>
      </c>
      <c r="C15" s="6" t="s">
        <v>175</v>
      </c>
      <c r="D15" s="6" t="s">
        <v>178</v>
      </c>
      <c r="E15" s="6" t="s">
        <v>18</v>
      </c>
      <c r="F15" s="6" t="s">
        <v>62</v>
      </c>
      <c r="G15" s="6" t="s">
        <v>12</v>
      </c>
      <c r="H15" s="6">
        <v>43</v>
      </c>
      <c r="I15" s="6">
        <v>2580</v>
      </c>
      <c r="J15" s="17">
        <f t="shared" si="0"/>
        <v>18060</v>
      </c>
      <c r="K15" s="2" t="s">
        <v>297</v>
      </c>
    </row>
    <row r="16" spans="1:11" x14ac:dyDescent="0.3">
      <c r="A16" s="20" t="s">
        <v>131</v>
      </c>
      <c r="B16" s="19" t="s">
        <v>103</v>
      </c>
      <c r="C16" s="6" t="s">
        <v>175</v>
      </c>
      <c r="D16" s="6" t="s">
        <v>176</v>
      </c>
      <c r="E16" s="6" t="s">
        <v>18</v>
      </c>
      <c r="F16" s="6" t="s">
        <v>62</v>
      </c>
      <c r="G16" s="6" t="s">
        <v>12</v>
      </c>
      <c r="H16" s="6">
        <v>31</v>
      </c>
      <c r="I16" s="6">
        <v>1860</v>
      </c>
      <c r="J16" s="17">
        <f t="shared" si="0"/>
        <v>13020</v>
      </c>
      <c r="K16" s="2" t="s">
        <v>297</v>
      </c>
    </row>
    <row r="17" spans="1:11" x14ac:dyDescent="0.3">
      <c r="A17" s="20" t="s">
        <v>132</v>
      </c>
      <c r="B17" s="19" t="s">
        <v>104</v>
      </c>
      <c r="C17" s="6" t="s">
        <v>175</v>
      </c>
      <c r="D17" s="6" t="s">
        <v>176</v>
      </c>
      <c r="E17" s="6" t="s">
        <v>111</v>
      </c>
      <c r="F17" s="6" t="s">
        <v>62</v>
      </c>
      <c r="G17" s="6" t="s">
        <v>12</v>
      </c>
      <c r="H17" s="6">
        <v>56</v>
      </c>
      <c r="I17" s="6">
        <v>3360</v>
      </c>
      <c r="J17" s="17">
        <f t="shared" si="0"/>
        <v>23520</v>
      </c>
      <c r="K17" s="2" t="s">
        <v>297</v>
      </c>
    </row>
    <row r="18" spans="1:11" x14ac:dyDescent="0.3">
      <c r="A18" s="20" t="s">
        <v>133</v>
      </c>
      <c r="B18" s="19" t="s">
        <v>167</v>
      </c>
      <c r="C18" s="6" t="s">
        <v>175</v>
      </c>
      <c r="D18" s="6" t="s">
        <v>176</v>
      </c>
      <c r="E18" s="6" t="s">
        <v>111</v>
      </c>
      <c r="F18" s="6" t="s">
        <v>62</v>
      </c>
      <c r="G18" s="6" t="s">
        <v>12</v>
      </c>
      <c r="H18" s="6">
        <v>77</v>
      </c>
      <c r="I18" s="6">
        <v>4620</v>
      </c>
      <c r="J18" s="17">
        <f t="shared" si="0"/>
        <v>32340</v>
      </c>
      <c r="K18" s="6" t="s">
        <v>292</v>
      </c>
    </row>
    <row r="19" spans="1:11" x14ac:dyDescent="0.3">
      <c r="A19" s="20" t="s">
        <v>134</v>
      </c>
      <c r="B19" s="19" t="s">
        <v>168</v>
      </c>
      <c r="C19" s="6" t="s">
        <v>175</v>
      </c>
      <c r="D19" s="6" t="s">
        <v>176</v>
      </c>
      <c r="E19" s="6" t="s">
        <v>111</v>
      </c>
      <c r="F19" s="6" t="s">
        <v>67</v>
      </c>
      <c r="G19" s="6" t="s">
        <v>69</v>
      </c>
      <c r="H19" s="6">
        <v>66</v>
      </c>
      <c r="I19" s="6">
        <v>3960</v>
      </c>
      <c r="J19" s="17">
        <f t="shared" si="0"/>
        <v>27720</v>
      </c>
      <c r="K19" s="6" t="s">
        <v>292</v>
      </c>
    </row>
    <row r="20" spans="1:11" x14ac:dyDescent="0.3">
      <c r="A20" s="20" t="s">
        <v>135</v>
      </c>
      <c r="B20" s="19" t="s">
        <v>167</v>
      </c>
      <c r="C20" s="6" t="s">
        <v>175</v>
      </c>
      <c r="D20" s="6" t="s">
        <v>176</v>
      </c>
      <c r="E20" s="6" t="s">
        <v>111</v>
      </c>
      <c r="F20" s="6" t="s">
        <v>67</v>
      </c>
      <c r="G20" s="6" t="s">
        <v>69</v>
      </c>
      <c r="H20" s="6">
        <v>58</v>
      </c>
      <c r="I20" s="6">
        <v>3480</v>
      </c>
      <c r="J20" s="17">
        <f t="shared" si="0"/>
        <v>24360</v>
      </c>
      <c r="K20" s="6" t="s">
        <v>292</v>
      </c>
    </row>
    <row r="21" spans="1:11" x14ac:dyDescent="0.3">
      <c r="A21" s="20" t="s">
        <v>136</v>
      </c>
      <c r="B21" s="19" t="s">
        <v>80</v>
      </c>
      <c r="C21" s="6" t="s">
        <v>175</v>
      </c>
      <c r="D21" s="6" t="s">
        <v>176</v>
      </c>
      <c r="E21" s="6" t="s">
        <v>111</v>
      </c>
      <c r="F21" s="6" t="s">
        <v>67</v>
      </c>
      <c r="G21" s="6" t="s">
        <v>69</v>
      </c>
      <c r="H21" s="6">
        <v>94</v>
      </c>
      <c r="I21" s="6">
        <v>5640</v>
      </c>
      <c r="J21" s="17">
        <f t="shared" si="0"/>
        <v>39480</v>
      </c>
      <c r="K21" s="6" t="s">
        <v>292</v>
      </c>
    </row>
    <row r="22" spans="1:11" x14ac:dyDescent="0.3">
      <c r="A22" s="20" t="s">
        <v>137</v>
      </c>
      <c r="B22" s="19" t="s">
        <v>80</v>
      </c>
      <c r="C22" s="6" t="s">
        <v>175</v>
      </c>
      <c r="D22" s="6" t="s">
        <v>176</v>
      </c>
      <c r="E22" s="6" t="s">
        <v>111</v>
      </c>
      <c r="F22" s="6" t="s">
        <v>67</v>
      </c>
      <c r="G22" s="6" t="s">
        <v>69</v>
      </c>
      <c r="H22" s="6">
        <v>16</v>
      </c>
      <c r="I22" s="6">
        <v>960</v>
      </c>
      <c r="J22" s="17">
        <f t="shared" si="0"/>
        <v>6720</v>
      </c>
      <c r="K22" s="6" t="s">
        <v>292</v>
      </c>
    </row>
    <row r="23" spans="1:11" x14ac:dyDescent="0.3">
      <c r="A23" s="20" t="s">
        <v>138</v>
      </c>
      <c r="B23" s="19" t="s">
        <v>169</v>
      </c>
      <c r="C23" s="6" t="s">
        <v>175</v>
      </c>
      <c r="D23" s="6" t="s">
        <v>176</v>
      </c>
      <c r="E23" s="6" t="s">
        <v>111</v>
      </c>
      <c r="F23" s="6" t="s">
        <v>67</v>
      </c>
      <c r="G23" s="6" t="s">
        <v>69</v>
      </c>
      <c r="H23" s="6">
        <v>46</v>
      </c>
      <c r="I23" s="6">
        <v>2760</v>
      </c>
      <c r="J23" s="17">
        <f t="shared" si="0"/>
        <v>19320</v>
      </c>
      <c r="K23" s="6" t="s">
        <v>292</v>
      </c>
    </row>
    <row r="24" spans="1:11" x14ac:dyDescent="0.3">
      <c r="A24" s="20" t="s">
        <v>139</v>
      </c>
      <c r="B24" s="19" t="s">
        <v>103</v>
      </c>
      <c r="C24" s="6" t="s">
        <v>175</v>
      </c>
      <c r="D24" s="6" t="s">
        <v>177</v>
      </c>
      <c r="E24" s="6" t="s">
        <v>111</v>
      </c>
      <c r="F24" s="6" t="s">
        <v>67</v>
      </c>
      <c r="G24" s="6" t="s">
        <v>69</v>
      </c>
      <c r="H24" s="6">
        <v>67</v>
      </c>
      <c r="I24" s="6">
        <v>4020</v>
      </c>
      <c r="J24" s="17">
        <f t="shared" si="0"/>
        <v>28140</v>
      </c>
      <c r="K24" s="6" t="s">
        <v>292</v>
      </c>
    </row>
    <row r="25" spans="1:11" x14ac:dyDescent="0.3">
      <c r="A25" s="20" t="s">
        <v>140</v>
      </c>
      <c r="B25" s="19" t="s">
        <v>166</v>
      </c>
      <c r="C25" s="6" t="s">
        <v>175</v>
      </c>
      <c r="D25" s="6" t="s">
        <v>177</v>
      </c>
      <c r="E25" s="6" t="s">
        <v>111</v>
      </c>
      <c r="F25" s="6" t="s">
        <v>62</v>
      </c>
      <c r="G25" s="6" t="s">
        <v>69</v>
      </c>
      <c r="H25" s="6">
        <v>88</v>
      </c>
      <c r="I25" s="6">
        <v>5280</v>
      </c>
      <c r="J25" s="17">
        <f t="shared" si="0"/>
        <v>36960</v>
      </c>
      <c r="K25" s="6" t="s">
        <v>292</v>
      </c>
    </row>
    <row r="26" spans="1:11" x14ac:dyDescent="0.3">
      <c r="A26" s="20" t="s">
        <v>141</v>
      </c>
      <c r="B26" s="19" t="s">
        <v>170</v>
      </c>
      <c r="C26" s="6" t="s">
        <v>175</v>
      </c>
      <c r="D26" s="6" t="s">
        <v>177</v>
      </c>
      <c r="E26" s="6" t="s">
        <v>18</v>
      </c>
      <c r="F26" s="6" t="s">
        <v>62</v>
      </c>
      <c r="G26" s="6" t="s">
        <v>12</v>
      </c>
      <c r="H26" s="6">
        <v>53</v>
      </c>
      <c r="I26" s="6">
        <v>3180</v>
      </c>
      <c r="J26" s="17">
        <f t="shared" si="0"/>
        <v>22260</v>
      </c>
      <c r="K26" s="6" t="s">
        <v>292</v>
      </c>
    </row>
    <row r="27" spans="1:11" x14ac:dyDescent="0.3">
      <c r="A27" s="20" t="s">
        <v>142</v>
      </c>
      <c r="B27" s="19" t="s">
        <v>83</v>
      </c>
      <c r="C27" s="6" t="s">
        <v>175</v>
      </c>
      <c r="D27" s="6" t="s">
        <v>177</v>
      </c>
      <c r="E27" s="6" t="s">
        <v>18</v>
      </c>
      <c r="F27" s="6" t="s">
        <v>62</v>
      </c>
      <c r="G27" s="6" t="s">
        <v>12</v>
      </c>
      <c r="H27" s="6">
        <v>90</v>
      </c>
      <c r="I27" s="6">
        <v>5400</v>
      </c>
      <c r="J27" s="17">
        <f>I27*7</f>
        <v>37800</v>
      </c>
      <c r="K27" s="6" t="s">
        <v>292</v>
      </c>
    </row>
    <row r="28" spans="1:11" x14ac:dyDescent="0.3">
      <c r="A28" s="20" t="s">
        <v>143</v>
      </c>
      <c r="B28" s="19" t="s">
        <v>171</v>
      </c>
      <c r="C28" s="6" t="s">
        <v>175</v>
      </c>
      <c r="D28" s="6" t="s">
        <v>177</v>
      </c>
      <c r="E28" s="6" t="s">
        <v>18</v>
      </c>
      <c r="F28" s="6" t="s">
        <v>62</v>
      </c>
      <c r="G28" s="6" t="s">
        <v>12</v>
      </c>
      <c r="H28" s="6">
        <v>40</v>
      </c>
      <c r="I28" s="6">
        <v>2400</v>
      </c>
      <c r="J28" s="17">
        <f t="shared" si="0"/>
        <v>16800</v>
      </c>
      <c r="K28" s="6" t="s">
        <v>292</v>
      </c>
    </row>
    <row r="29" spans="1:11" x14ac:dyDescent="0.3">
      <c r="A29" s="20" t="s">
        <v>144</v>
      </c>
      <c r="B29" s="19" t="s">
        <v>168</v>
      </c>
      <c r="C29" s="6" t="s">
        <v>175</v>
      </c>
      <c r="D29" s="6" t="s">
        <v>177</v>
      </c>
      <c r="E29" s="6" t="s">
        <v>18</v>
      </c>
      <c r="F29" s="6" t="s">
        <v>62</v>
      </c>
      <c r="G29" s="6" t="s">
        <v>12</v>
      </c>
      <c r="H29" s="6">
        <v>50</v>
      </c>
      <c r="I29" s="6">
        <v>3000</v>
      </c>
      <c r="J29" s="17">
        <f t="shared" si="0"/>
        <v>21000</v>
      </c>
      <c r="K29" s="6" t="s">
        <v>292</v>
      </c>
    </row>
    <row r="30" spans="1:11" x14ac:dyDescent="0.3">
      <c r="A30" s="20" t="s">
        <v>93</v>
      </c>
      <c r="B30" s="19" t="s">
        <v>81</v>
      </c>
      <c r="C30" s="6" t="s">
        <v>175</v>
      </c>
      <c r="D30" s="6" t="s">
        <v>10</v>
      </c>
      <c r="E30" s="6" t="s">
        <v>18</v>
      </c>
      <c r="F30" s="6" t="s">
        <v>62</v>
      </c>
      <c r="G30" s="6" t="s">
        <v>12</v>
      </c>
      <c r="H30" s="6">
        <v>60</v>
      </c>
      <c r="I30" s="6">
        <v>3600</v>
      </c>
      <c r="J30" s="17">
        <f t="shared" si="0"/>
        <v>25200</v>
      </c>
      <c r="K30" s="6" t="s">
        <v>292</v>
      </c>
    </row>
    <row r="31" spans="1:11" x14ac:dyDescent="0.3">
      <c r="A31" s="20" t="s">
        <v>145</v>
      </c>
      <c r="B31" s="19" t="s">
        <v>80</v>
      </c>
      <c r="C31" s="6" t="s">
        <v>175</v>
      </c>
      <c r="D31" s="6" t="s">
        <v>9</v>
      </c>
      <c r="E31" s="6" t="s">
        <v>18</v>
      </c>
      <c r="F31" s="6" t="s">
        <v>62</v>
      </c>
      <c r="G31" s="6" t="s">
        <v>12</v>
      </c>
      <c r="H31" s="6">
        <v>80</v>
      </c>
      <c r="I31" s="6">
        <v>4800</v>
      </c>
      <c r="J31" s="17">
        <f t="shared" si="0"/>
        <v>33600</v>
      </c>
      <c r="K31" s="6" t="s">
        <v>292</v>
      </c>
    </row>
    <row r="32" spans="1:11" x14ac:dyDescent="0.3">
      <c r="A32" s="20" t="s">
        <v>49</v>
      </c>
      <c r="B32" s="19" t="s">
        <v>103</v>
      </c>
      <c r="C32" s="6" t="s">
        <v>175</v>
      </c>
      <c r="D32" s="6" t="s">
        <v>177</v>
      </c>
      <c r="E32" s="6" t="s">
        <v>18</v>
      </c>
      <c r="F32" s="6" t="s">
        <v>62</v>
      </c>
      <c r="G32" s="6" t="s">
        <v>12</v>
      </c>
      <c r="H32" s="6">
        <v>70</v>
      </c>
      <c r="I32" s="6">
        <v>4200</v>
      </c>
      <c r="J32" s="17">
        <f t="shared" si="0"/>
        <v>29400</v>
      </c>
      <c r="K32" s="6" t="s">
        <v>292</v>
      </c>
    </row>
    <row r="33" spans="1:11" x14ac:dyDescent="0.3">
      <c r="A33" s="20" t="s">
        <v>146</v>
      </c>
      <c r="B33" s="19" t="s">
        <v>103</v>
      </c>
      <c r="C33" s="6" t="s">
        <v>175</v>
      </c>
      <c r="D33" s="6" t="s">
        <v>176</v>
      </c>
      <c r="E33" s="6" t="s">
        <v>18</v>
      </c>
      <c r="F33" s="6" t="s">
        <v>62</v>
      </c>
      <c r="G33" s="6" t="s">
        <v>12</v>
      </c>
      <c r="H33" s="6">
        <v>81</v>
      </c>
      <c r="I33" s="6">
        <v>4860</v>
      </c>
      <c r="J33" s="17">
        <f t="shared" si="0"/>
        <v>34020</v>
      </c>
      <c r="K33" s="6" t="s">
        <v>292</v>
      </c>
    </row>
    <row r="34" spans="1:11" x14ac:dyDescent="0.3">
      <c r="A34" s="20" t="s">
        <v>147</v>
      </c>
      <c r="B34" s="19" t="s">
        <v>82</v>
      </c>
      <c r="C34" s="6" t="s">
        <v>175</v>
      </c>
      <c r="D34" s="6" t="s">
        <v>176</v>
      </c>
      <c r="E34" s="6" t="s">
        <v>18</v>
      </c>
      <c r="F34" s="6" t="s">
        <v>11</v>
      </c>
      <c r="G34" s="6" t="s">
        <v>12</v>
      </c>
      <c r="H34" s="6">
        <v>83</v>
      </c>
      <c r="I34" s="6">
        <v>4980</v>
      </c>
      <c r="J34" s="17">
        <f t="shared" si="0"/>
        <v>34860</v>
      </c>
      <c r="K34" s="6" t="s">
        <v>292</v>
      </c>
    </row>
    <row r="35" spans="1:11" x14ac:dyDescent="0.3">
      <c r="A35" s="20" t="s">
        <v>148</v>
      </c>
      <c r="B35" s="19" t="s">
        <v>168</v>
      </c>
      <c r="C35" s="6" t="s">
        <v>175</v>
      </c>
      <c r="D35" s="6" t="s">
        <v>177</v>
      </c>
      <c r="E35" s="6" t="s">
        <v>18</v>
      </c>
      <c r="F35" s="6" t="s">
        <v>11</v>
      </c>
      <c r="G35" s="6" t="s">
        <v>12</v>
      </c>
      <c r="H35" s="6">
        <v>79</v>
      </c>
      <c r="I35" s="6">
        <v>4740</v>
      </c>
      <c r="J35" s="17">
        <f t="shared" si="0"/>
        <v>33180</v>
      </c>
      <c r="K35" s="6" t="s">
        <v>292</v>
      </c>
    </row>
    <row r="36" spans="1:11" x14ac:dyDescent="0.3">
      <c r="A36" s="20" t="s">
        <v>149</v>
      </c>
      <c r="B36" s="19" t="s">
        <v>85</v>
      </c>
      <c r="C36" s="6" t="s">
        <v>175</v>
      </c>
      <c r="D36" s="6" t="s">
        <v>177</v>
      </c>
      <c r="E36" s="6" t="s">
        <v>18</v>
      </c>
      <c r="F36" s="6" t="s">
        <v>11</v>
      </c>
      <c r="G36" s="6" t="s">
        <v>12</v>
      </c>
      <c r="H36" s="6">
        <v>46</v>
      </c>
      <c r="I36" s="6">
        <v>2760</v>
      </c>
      <c r="J36" s="17">
        <f t="shared" si="0"/>
        <v>19320</v>
      </c>
      <c r="K36" s="6" t="s">
        <v>292</v>
      </c>
    </row>
    <row r="37" spans="1:11" x14ac:dyDescent="0.3">
      <c r="A37" s="20" t="s">
        <v>150</v>
      </c>
      <c r="B37" s="19" t="s">
        <v>166</v>
      </c>
      <c r="C37" s="6" t="s">
        <v>175</v>
      </c>
      <c r="D37" s="6" t="s">
        <v>177</v>
      </c>
      <c r="E37" s="6" t="s">
        <v>18</v>
      </c>
      <c r="F37" s="6" t="s">
        <v>11</v>
      </c>
      <c r="G37" s="6" t="s">
        <v>12</v>
      </c>
      <c r="H37" s="6">
        <v>88</v>
      </c>
      <c r="I37" s="6">
        <v>5280</v>
      </c>
      <c r="J37" s="17">
        <f t="shared" si="0"/>
        <v>36960</v>
      </c>
      <c r="K37" s="6" t="s">
        <v>298</v>
      </c>
    </row>
    <row r="38" spans="1:11" x14ac:dyDescent="0.3">
      <c r="A38" s="20" t="s">
        <v>151</v>
      </c>
      <c r="B38" s="19" t="s">
        <v>82</v>
      </c>
      <c r="C38" s="6" t="s">
        <v>175</v>
      </c>
      <c r="D38" s="6" t="s">
        <v>233</v>
      </c>
      <c r="E38" s="6" t="s">
        <v>18</v>
      </c>
      <c r="F38" s="6" t="s">
        <v>11</v>
      </c>
      <c r="G38" s="6" t="s">
        <v>12</v>
      </c>
      <c r="H38" s="6">
        <v>56</v>
      </c>
      <c r="I38" s="6">
        <v>3360</v>
      </c>
      <c r="J38" s="17">
        <f t="shared" si="0"/>
        <v>23520</v>
      </c>
      <c r="K38" s="6" t="s">
        <v>298</v>
      </c>
    </row>
    <row r="39" spans="1:11" x14ac:dyDescent="0.3">
      <c r="A39" s="20" t="s">
        <v>152</v>
      </c>
      <c r="B39" s="19" t="s">
        <v>103</v>
      </c>
      <c r="C39" s="6" t="s">
        <v>175</v>
      </c>
      <c r="D39" s="6" t="s">
        <v>233</v>
      </c>
      <c r="E39" s="6" t="s">
        <v>18</v>
      </c>
      <c r="F39" s="6" t="s">
        <v>11</v>
      </c>
      <c r="G39" s="6" t="s">
        <v>12</v>
      </c>
      <c r="H39" s="6">
        <v>33</v>
      </c>
      <c r="I39" s="6">
        <v>1980</v>
      </c>
      <c r="J39" s="17">
        <f t="shared" si="0"/>
        <v>13860</v>
      </c>
      <c r="K39" s="6" t="s">
        <v>298</v>
      </c>
    </row>
    <row r="40" spans="1:11" x14ac:dyDescent="0.3">
      <c r="A40" s="20" t="s">
        <v>153</v>
      </c>
      <c r="B40" s="19" t="s">
        <v>80</v>
      </c>
      <c r="C40" s="6" t="s">
        <v>175</v>
      </c>
      <c r="D40" s="6" t="s">
        <v>233</v>
      </c>
      <c r="E40" s="6" t="s">
        <v>18</v>
      </c>
      <c r="F40" s="6" t="s">
        <v>11</v>
      </c>
      <c r="G40" s="6" t="s">
        <v>12</v>
      </c>
      <c r="H40" s="6">
        <v>37</v>
      </c>
      <c r="I40" s="6">
        <v>2220</v>
      </c>
      <c r="J40" s="17">
        <f t="shared" si="0"/>
        <v>15540</v>
      </c>
      <c r="K40" s="6" t="s">
        <v>298</v>
      </c>
    </row>
    <row r="41" spans="1:11" x14ac:dyDescent="0.3">
      <c r="A41" s="20" t="s">
        <v>154</v>
      </c>
      <c r="B41" s="19" t="s">
        <v>81</v>
      </c>
      <c r="C41" s="6" t="s">
        <v>175</v>
      </c>
      <c r="D41" s="6" t="s">
        <v>233</v>
      </c>
      <c r="E41" s="6" t="s">
        <v>18</v>
      </c>
      <c r="F41" s="6" t="s">
        <v>11</v>
      </c>
      <c r="G41" s="6" t="s">
        <v>12</v>
      </c>
      <c r="H41" s="6">
        <v>47</v>
      </c>
      <c r="I41" s="6">
        <v>2820</v>
      </c>
      <c r="J41" s="17">
        <f>I41*7</f>
        <v>19740</v>
      </c>
      <c r="K41" s="6" t="s">
        <v>298</v>
      </c>
    </row>
    <row r="42" spans="1:11" x14ac:dyDescent="0.3">
      <c r="A42" s="20" t="s">
        <v>155</v>
      </c>
      <c r="B42" s="19" t="s">
        <v>169</v>
      </c>
      <c r="C42" s="6" t="s">
        <v>175</v>
      </c>
      <c r="D42" s="6" t="s">
        <v>233</v>
      </c>
      <c r="E42" s="6" t="s">
        <v>18</v>
      </c>
      <c r="F42" s="6" t="s">
        <v>11</v>
      </c>
      <c r="G42" s="6" t="s">
        <v>12</v>
      </c>
      <c r="H42" s="6">
        <v>48</v>
      </c>
      <c r="I42" s="6">
        <v>2880</v>
      </c>
      <c r="J42" s="17">
        <f t="shared" si="0"/>
        <v>20160</v>
      </c>
      <c r="K42" s="6" t="s">
        <v>298</v>
      </c>
    </row>
    <row r="43" spans="1:11" x14ac:dyDescent="0.3">
      <c r="A43" s="20" t="s">
        <v>156</v>
      </c>
      <c r="B43" s="19" t="s">
        <v>169</v>
      </c>
      <c r="C43" s="6" t="s">
        <v>175</v>
      </c>
      <c r="D43" s="6" t="s">
        <v>233</v>
      </c>
      <c r="E43" s="6" t="s">
        <v>18</v>
      </c>
      <c r="F43" s="6" t="s">
        <v>11</v>
      </c>
      <c r="G43" s="6" t="s">
        <v>12</v>
      </c>
      <c r="H43" s="6">
        <v>58</v>
      </c>
      <c r="I43" s="6">
        <v>3480</v>
      </c>
      <c r="J43" s="17">
        <f t="shared" si="0"/>
        <v>24360</v>
      </c>
      <c r="K43" s="6" t="s">
        <v>298</v>
      </c>
    </row>
    <row r="44" spans="1:11" x14ac:dyDescent="0.3">
      <c r="A44" s="20" t="s">
        <v>157</v>
      </c>
      <c r="B44" s="19" t="s">
        <v>172</v>
      </c>
      <c r="C44" s="6" t="s">
        <v>175</v>
      </c>
      <c r="D44" s="6" t="s">
        <v>233</v>
      </c>
      <c r="E44" s="6" t="s">
        <v>18</v>
      </c>
      <c r="F44" s="6" t="s">
        <v>11</v>
      </c>
      <c r="G44" s="6" t="s">
        <v>12</v>
      </c>
      <c r="H44" s="6">
        <v>28</v>
      </c>
      <c r="I44" s="6">
        <v>1680</v>
      </c>
      <c r="J44" s="17">
        <f t="shared" si="0"/>
        <v>11760</v>
      </c>
      <c r="K44" s="6" t="s">
        <v>298</v>
      </c>
    </row>
    <row r="45" spans="1:11" x14ac:dyDescent="0.3">
      <c r="A45" s="20" t="s">
        <v>158</v>
      </c>
      <c r="B45" s="19" t="s">
        <v>80</v>
      </c>
      <c r="C45" s="6" t="s">
        <v>175</v>
      </c>
      <c r="D45" s="6" t="s">
        <v>233</v>
      </c>
      <c r="E45" s="6" t="s">
        <v>18</v>
      </c>
      <c r="F45" s="6" t="s">
        <v>11</v>
      </c>
      <c r="G45" s="6" t="s">
        <v>12</v>
      </c>
      <c r="H45" s="6">
        <v>68</v>
      </c>
      <c r="I45" s="6">
        <v>4080</v>
      </c>
      <c r="J45" s="17">
        <f t="shared" si="0"/>
        <v>28560</v>
      </c>
      <c r="K45" s="6" t="s">
        <v>298</v>
      </c>
    </row>
    <row r="46" spans="1:11" x14ac:dyDescent="0.3">
      <c r="A46" s="20" t="s">
        <v>159</v>
      </c>
      <c r="B46" s="19" t="s">
        <v>82</v>
      </c>
      <c r="C46" s="6" t="s">
        <v>175</v>
      </c>
      <c r="D46" s="6" t="s">
        <v>233</v>
      </c>
      <c r="E46" s="6" t="s">
        <v>18</v>
      </c>
      <c r="F46" s="6" t="s">
        <v>11</v>
      </c>
      <c r="G46" s="6" t="s">
        <v>12</v>
      </c>
      <c r="H46" s="6">
        <v>55</v>
      </c>
      <c r="I46" s="6">
        <v>3300</v>
      </c>
      <c r="J46" s="17">
        <f t="shared" si="0"/>
        <v>23100</v>
      </c>
      <c r="K46" s="6" t="s">
        <v>298</v>
      </c>
    </row>
    <row r="47" spans="1:11" x14ac:dyDescent="0.3">
      <c r="A47" s="20" t="s">
        <v>160</v>
      </c>
      <c r="B47" s="19" t="s">
        <v>173</v>
      </c>
      <c r="C47" s="6" t="s">
        <v>175</v>
      </c>
      <c r="D47" s="6" t="s">
        <v>233</v>
      </c>
      <c r="E47" s="6" t="s">
        <v>18</v>
      </c>
      <c r="F47" s="6" t="s">
        <v>11</v>
      </c>
      <c r="G47" s="6" t="s">
        <v>12</v>
      </c>
      <c r="H47" s="6">
        <v>61</v>
      </c>
      <c r="I47" s="6">
        <v>3660</v>
      </c>
      <c r="J47" s="17">
        <f t="shared" si="0"/>
        <v>25620</v>
      </c>
      <c r="K47" s="6" t="s">
        <v>298</v>
      </c>
    </row>
    <row r="48" spans="1:11" x14ac:dyDescent="0.3">
      <c r="A48" s="20" t="s">
        <v>161</v>
      </c>
      <c r="B48" s="19" t="s">
        <v>167</v>
      </c>
      <c r="C48" s="6" t="s">
        <v>175</v>
      </c>
      <c r="D48" s="6" t="s">
        <v>233</v>
      </c>
      <c r="E48" s="6" t="s">
        <v>18</v>
      </c>
      <c r="F48" s="6" t="s">
        <v>62</v>
      </c>
      <c r="G48" s="6" t="s">
        <v>12</v>
      </c>
      <c r="H48" s="6">
        <v>41</v>
      </c>
      <c r="I48" s="6">
        <v>2460</v>
      </c>
      <c r="J48" s="17">
        <f t="shared" si="0"/>
        <v>17220</v>
      </c>
      <c r="K48" s="6" t="s">
        <v>298</v>
      </c>
    </row>
    <row r="49" spans="1:11" x14ac:dyDescent="0.3">
      <c r="A49" s="20" t="s">
        <v>162</v>
      </c>
      <c r="B49" s="19" t="s">
        <v>174</v>
      </c>
      <c r="C49" s="6" t="s">
        <v>175</v>
      </c>
      <c r="D49" s="6" t="s">
        <v>233</v>
      </c>
      <c r="E49" s="6" t="s">
        <v>18</v>
      </c>
      <c r="F49" s="6" t="s">
        <v>62</v>
      </c>
      <c r="G49" s="6" t="s">
        <v>12</v>
      </c>
      <c r="H49" s="6">
        <v>81</v>
      </c>
      <c r="I49" s="6">
        <v>4860</v>
      </c>
      <c r="J49" s="17">
        <f t="shared" si="0"/>
        <v>34020</v>
      </c>
      <c r="K49" s="6" t="s">
        <v>298</v>
      </c>
    </row>
    <row r="50" spans="1:11" x14ac:dyDescent="0.3">
      <c r="A50" s="20" t="s">
        <v>163</v>
      </c>
      <c r="B50" s="19" t="s">
        <v>81</v>
      </c>
      <c r="C50" s="6" t="s">
        <v>175</v>
      </c>
      <c r="D50" s="6" t="s">
        <v>233</v>
      </c>
      <c r="E50" s="6" t="s">
        <v>18</v>
      </c>
      <c r="F50" s="6" t="s">
        <v>62</v>
      </c>
      <c r="G50" s="6" t="s">
        <v>12</v>
      </c>
      <c r="H50" s="6">
        <v>85</v>
      </c>
      <c r="I50" s="6">
        <v>5100</v>
      </c>
      <c r="J50" s="17">
        <f t="shared" si="0"/>
        <v>35700</v>
      </c>
      <c r="K50" s="6" t="s">
        <v>298</v>
      </c>
    </row>
    <row r="51" spans="1:11" x14ac:dyDescent="0.3">
      <c r="A51" s="21" t="s">
        <v>164</v>
      </c>
      <c r="B51" s="22" t="s">
        <v>86</v>
      </c>
      <c r="C51" s="11" t="s">
        <v>175</v>
      </c>
      <c r="D51" s="6" t="s">
        <v>233</v>
      </c>
      <c r="E51" s="11" t="s">
        <v>18</v>
      </c>
      <c r="F51" s="11" t="s">
        <v>62</v>
      </c>
      <c r="G51" s="11" t="s">
        <v>12</v>
      </c>
      <c r="H51" s="11">
        <v>59</v>
      </c>
      <c r="I51" s="11">
        <v>3540</v>
      </c>
      <c r="J51" s="14">
        <f t="shared" si="0"/>
        <v>24780</v>
      </c>
      <c r="K51" s="6" t="s">
        <v>298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51DA1-E91A-4A1D-A1E1-944D1BACD4CC}">
  <dimension ref="A1:K51"/>
  <sheetViews>
    <sheetView zoomScale="55" zoomScaleNormal="55" workbookViewId="0">
      <selection activeCell="K2" sqref="K2:K51"/>
    </sheetView>
  </sheetViews>
  <sheetFormatPr defaultRowHeight="14.4" x14ac:dyDescent="0.3"/>
  <cols>
    <col min="1" max="1" width="26.44140625" customWidth="1"/>
    <col min="2" max="2" width="18" customWidth="1"/>
    <col min="3" max="3" width="15.33203125" customWidth="1"/>
    <col min="4" max="4" width="38.33203125" customWidth="1"/>
    <col min="5" max="5" width="33.44140625" customWidth="1"/>
    <col min="6" max="6" width="27.33203125" customWidth="1"/>
    <col min="7" max="7" width="27.44140625" customWidth="1"/>
    <col min="8" max="8" width="23.6640625" customWidth="1"/>
    <col min="9" max="9" width="21.5546875" customWidth="1"/>
    <col min="10" max="10" width="26.33203125" customWidth="1"/>
    <col min="11" max="11" width="29.6640625" customWidth="1"/>
  </cols>
  <sheetData>
    <row r="1" spans="1:11" x14ac:dyDescent="0.3">
      <c r="A1" s="30" t="s">
        <v>0</v>
      </c>
      <c r="B1" s="29" t="s">
        <v>1</v>
      </c>
      <c r="C1" s="29" t="s">
        <v>2</v>
      </c>
      <c r="D1" s="29" t="s">
        <v>303</v>
      </c>
      <c r="E1" s="29" t="s">
        <v>305</v>
      </c>
      <c r="F1" s="29" t="s">
        <v>302</v>
      </c>
      <c r="G1" s="29" t="s">
        <v>4</v>
      </c>
      <c r="H1" s="29" t="s">
        <v>6</v>
      </c>
      <c r="I1" s="29" t="s">
        <v>7</v>
      </c>
      <c r="J1" s="31" t="s">
        <v>304</v>
      </c>
      <c r="K1" s="29" t="s">
        <v>301</v>
      </c>
    </row>
    <row r="2" spans="1:11" x14ac:dyDescent="0.3">
      <c r="A2" s="23" t="s">
        <v>179</v>
      </c>
      <c r="B2" s="24" t="s">
        <v>109</v>
      </c>
      <c r="C2" s="24" t="s">
        <v>229</v>
      </c>
      <c r="D2" s="24" t="s">
        <v>9</v>
      </c>
      <c r="E2" s="24" t="s">
        <v>18</v>
      </c>
      <c r="F2" s="24" t="s">
        <v>11</v>
      </c>
      <c r="G2" s="24" t="s">
        <v>69</v>
      </c>
      <c r="H2" s="24">
        <v>51</v>
      </c>
      <c r="I2" s="24">
        <v>3060</v>
      </c>
      <c r="J2" s="25">
        <f>Table5[[#This Row],[DAILY TOTAL SALES]]*7</f>
        <v>21420</v>
      </c>
      <c r="K2" s="29" t="s">
        <v>295</v>
      </c>
    </row>
    <row r="3" spans="1:11" x14ac:dyDescent="0.3">
      <c r="A3" s="23" t="s">
        <v>180</v>
      </c>
      <c r="B3" s="24" t="s">
        <v>82</v>
      </c>
      <c r="C3" s="24" t="s">
        <v>229</v>
      </c>
      <c r="D3" s="24" t="s">
        <v>9</v>
      </c>
      <c r="E3" s="24" t="s">
        <v>18</v>
      </c>
      <c r="F3" s="24" t="s">
        <v>11</v>
      </c>
      <c r="G3" s="24" t="s">
        <v>69</v>
      </c>
      <c r="H3" s="24">
        <v>19</v>
      </c>
      <c r="I3" s="24">
        <v>1140</v>
      </c>
      <c r="J3" s="25">
        <f>Table5[[#This Row],[DAILY TOTAL SALES]]*7</f>
        <v>7980</v>
      </c>
      <c r="K3" s="29" t="s">
        <v>295</v>
      </c>
    </row>
    <row r="4" spans="1:11" x14ac:dyDescent="0.3">
      <c r="A4" s="23" t="s">
        <v>181</v>
      </c>
      <c r="B4" s="24" t="s">
        <v>81</v>
      </c>
      <c r="C4" s="24" t="s">
        <v>229</v>
      </c>
      <c r="D4" s="24" t="s">
        <v>9</v>
      </c>
      <c r="E4" s="24" t="s">
        <v>18</v>
      </c>
      <c r="F4" s="24" t="s">
        <v>11</v>
      </c>
      <c r="G4" s="24" t="s">
        <v>69</v>
      </c>
      <c r="H4" s="24">
        <v>45</v>
      </c>
      <c r="I4" s="24">
        <v>2700</v>
      </c>
      <c r="J4" s="25">
        <f>Table5[[#This Row],[DAILY TOTAL SALES]]*7</f>
        <v>18900</v>
      </c>
      <c r="K4" s="29" t="s">
        <v>295</v>
      </c>
    </row>
    <row r="5" spans="1:11" x14ac:dyDescent="0.3">
      <c r="A5" s="23" t="s">
        <v>182</v>
      </c>
      <c r="B5" s="24" t="s">
        <v>103</v>
      </c>
      <c r="C5" s="24" t="s">
        <v>229</v>
      </c>
      <c r="D5" s="24" t="s">
        <v>9</v>
      </c>
      <c r="E5" s="24" t="s">
        <v>18</v>
      </c>
      <c r="F5" s="24" t="s">
        <v>11</v>
      </c>
      <c r="G5" s="24" t="s">
        <v>69</v>
      </c>
      <c r="H5" s="24">
        <v>55</v>
      </c>
      <c r="I5" s="24">
        <v>3300</v>
      </c>
      <c r="J5" s="25">
        <f>Table5[[#This Row],[DAILY TOTAL SALES]]*7</f>
        <v>23100</v>
      </c>
      <c r="K5" s="29" t="s">
        <v>295</v>
      </c>
    </row>
    <row r="6" spans="1:11" x14ac:dyDescent="0.3">
      <c r="A6" s="23" t="s">
        <v>183</v>
      </c>
      <c r="B6" s="24" t="s">
        <v>80</v>
      </c>
      <c r="C6" s="24" t="s">
        <v>229</v>
      </c>
      <c r="D6" s="24" t="s">
        <v>9</v>
      </c>
      <c r="E6" s="24" t="s">
        <v>18</v>
      </c>
      <c r="F6" s="24" t="s">
        <v>11</v>
      </c>
      <c r="G6" s="24" t="s">
        <v>69</v>
      </c>
      <c r="H6" s="24">
        <v>70</v>
      </c>
      <c r="I6" s="24">
        <v>4200</v>
      </c>
      <c r="J6" s="25">
        <f>Table5[[#This Row],[DAILY TOTAL SALES]]*7</f>
        <v>29400</v>
      </c>
      <c r="K6" s="29" t="s">
        <v>295</v>
      </c>
    </row>
    <row r="7" spans="1:11" x14ac:dyDescent="0.3">
      <c r="A7" s="23" t="s">
        <v>184</v>
      </c>
      <c r="B7" s="24" t="s">
        <v>166</v>
      </c>
      <c r="C7" s="24" t="s">
        <v>229</v>
      </c>
      <c r="D7" s="24" t="s">
        <v>9</v>
      </c>
      <c r="E7" s="24" t="s">
        <v>18</v>
      </c>
      <c r="F7" s="24" t="s">
        <v>11</v>
      </c>
      <c r="G7" s="24" t="s">
        <v>69</v>
      </c>
      <c r="H7" s="24">
        <v>62</v>
      </c>
      <c r="I7" s="24">
        <v>3720</v>
      </c>
      <c r="J7" s="25">
        <f>Table5[[#This Row],[DAILY TOTAL SALES]]*7</f>
        <v>26040</v>
      </c>
      <c r="K7" s="29" t="s">
        <v>295</v>
      </c>
    </row>
    <row r="8" spans="1:11" x14ac:dyDescent="0.3">
      <c r="A8" s="23" t="s">
        <v>185</v>
      </c>
      <c r="B8" s="24" t="s">
        <v>169</v>
      </c>
      <c r="C8" s="24" t="s">
        <v>229</v>
      </c>
      <c r="D8" s="24" t="s">
        <v>9</v>
      </c>
      <c r="E8" s="24" t="s">
        <v>18</v>
      </c>
      <c r="F8" s="24" t="s">
        <v>11</v>
      </c>
      <c r="G8" s="24" t="s">
        <v>69</v>
      </c>
      <c r="H8" s="24">
        <v>35</v>
      </c>
      <c r="I8" s="24">
        <v>2100</v>
      </c>
      <c r="J8" s="25">
        <f>Table5[[#This Row],[DAILY TOTAL SALES]]*7</f>
        <v>14700</v>
      </c>
      <c r="K8" s="29" t="s">
        <v>295</v>
      </c>
    </row>
    <row r="9" spans="1:11" x14ac:dyDescent="0.3">
      <c r="A9" s="23" t="s">
        <v>186</v>
      </c>
      <c r="B9" s="24" t="s">
        <v>230</v>
      </c>
      <c r="C9" s="24" t="s">
        <v>229</v>
      </c>
      <c r="D9" s="24" t="s">
        <v>9</v>
      </c>
      <c r="E9" s="24" t="s">
        <v>18</v>
      </c>
      <c r="F9" s="24" t="s">
        <v>11</v>
      </c>
      <c r="G9" s="24" t="s">
        <v>69</v>
      </c>
      <c r="H9" s="24">
        <v>53</v>
      </c>
      <c r="I9" s="24">
        <v>3180</v>
      </c>
      <c r="J9" s="25">
        <f>Table5[[#This Row],[DAILY TOTAL SALES]]*7</f>
        <v>22260</v>
      </c>
      <c r="K9" s="29" t="s">
        <v>295</v>
      </c>
    </row>
    <row r="10" spans="1:11" x14ac:dyDescent="0.3">
      <c r="A10" s="23" t="s">
        <v>187</v>
      </c>
      <c r="B10" s="24" t="s">
        <v>86</v>
      </c>
      <c r="C10" s="24" t="s">
        <v>229</v>
      </c>
      <c r="D10" s="24" t="s">
        <v>9</v>
      </c>
      <c r="E10" s="24" t="s">
        <v>18</v>
      </c>
      <c r="F10" s="24" t="s">
        <v>62</v>
      </c>
      <c r="G10" s="24" t="s">
        <v>69</v>
      </c>
      <c r="H10" s="24">
        <v>41</v>
      </c>
      <c r="I10" s="24">
        <v>2460</v>
      </c>
      <c r="J10" s="25">
        <f>Table5[[#This Row],[DAILY TOTAL SALES]]*7</f>
        <v>17220</v>
      </c>
      <c r="K10" s="29" t="s">
        <v>295</v>
      </c>
    </row>
    <row r="11" spans="1:11" x14ac:dyDescent="0.3">
      <c r="A11" s="23" t="s">
        <v>188</v>
      </c>
      <c r="B11" s="24" t="s">
        <v>106</v>
      </c>
      <c r="C11" s="24" t="s">
        <v>229</v>
      </c>
      <c r="D11" s="24" t="s">
        <v>15</v>
      </c>
      <c r="E11" s="24" t="s">
        <v>18</v>
      </c>
      <c r="F11" s="24" t="s">
        <v>62</v>
      </c>
      <c r="G11" s="24" t="s">
        <v>69</v>
      </c>
      <c r="H11" s="24">
        <v>55</v>
      </c>
      <c r="I11" s="24">
        <v>3300</v>
      </c>
      <c r="J11" s="25">
        <f>Table5[[#This Row],[DAILY TOTAL SALES]]*7</f>
        <v>23100</v>
      </c>
      <c r="K11" s="29" t="s">
        <v>295</v>
      </c>
    </row>
    <row r="12" spans="1:11" x14ac:dyDescent="0.3">
      <c r="A12" s="23" t="s">
        <v>189</v>
      </c>
      <c r="B12" s="24" t="s">
        <v>168</v>
      </c>
      <c r="C12" s="24" t="s">
        <v>229</v>
      </c>
      <c r="D12" s="24" t="s">
        <v>15</v>
      </c>
      <c r="E12" s="24" t="s">
        <v>18</v>
      </c>
      <c r="F12" s="24" t="s">
        <v>62</v>
      </c>
      <c r="G12" s="24" t="s">
        <v>69</v>
      </c>
      <c r="H12" s="24">
        <v>44</v>
      </c>
      <c r="I12" s="24">
        <v>2640</v>
      </c>
      <c r="J12" s="25">
        <f>Table5[[#This Row],[DAILY TOTAL SALES]]*7</f>
        <v>18480</v>
      </c>
      <c r="K12" s="24" t="s">
        <v>296</v>
      </c>
    </row>
    <row r="13" spans="1:11" x14ac:dyDescent="0.3">
      <c r="A13" s="23" t="s">
        <v>190</v>
      </c>
      <c r="B13" s="24" t="s">
        <v>81</v>
      </c>
      <c r="C13" s="24" t="s">
        <v>229</v>
      </c>
      <c r="D13" s="24" t="s">
        <v>15</v>
      </c>
      <c r="E13" s="24" t="s">
        <v>18</v>
      </c>
      <c r="F13" s="24" t="s">
        <v>62</v>
      </c>
      <c r="G13" s="24" t="s">
        <v>69</v>
      </c>
      <c r="H13" s="24">
        <v>63</v>
      </c>
      <c r="I13" s="24">
        <v>3780</v>
      </c>
      <c r="J13" s="25">
        <f>Table5[[#This Row],[DAILY TOTAL SALES]]*7</f>
        <v>26460</v>
      </c>
      <c r="K13" s="24" t="s">
        <v>296</v>
      </c>
    </row>
    <row r="14" spans="1:11" x14ac:dyDescent="0.3">
      <c r="A14" s="23" t="s">
        <v>191</v>
      </c>
      <c r="B14" s="24" t="s">
        <v>80</v>
      </c>
      <c r="C14" s="24" t="s">
        <v>229</v>
      </c>
      <c r="D14" s="24" t="s">
        <v>15</v>
      </c>
      <c r="E14" s="24" t="s">
        <v>18</v>
      </c>
      <c r="F14" s="24" t="s">
        <v>62</v>
      </c>
      <c r="G14" s="24" t="s">
        <v>69</v>
      </c>
      <c r="H14" s="24">
        <v>33</v>
      </c>
      <c r="I14" s="24">
        <v>1980</v>
      </c>
      <c r="J14" s="25">
        <f>Table5[[#This Row],[DAILY TOTAL SALES]]*7</f>
        <v>13860</v>
      </c>
      <c r="K14" s="24" t="s">
        <v>296</v>
      </c>
    </row>
    <row r="15" spans="1:11" x14ac:dyDescent="0.3">
      <c r="A15" s="23" t="s">
        <v>192</v>
      </c>
      <c r="B15" s="24" t="s">
        <v>109</v>
      </c>
      <c r="C15" s="24" t="s">
        <v>229</v>
      </c>
      <c r="D15" s="24" t="s">
        <v>15</v>
      </c>
      <c r="E15" s="24" t="s">
        <v>18</v>
      </c>
      <c r="F15" s="24" t="s">
        <v>62</v>
      </c>
      <c r="G15" s="24" t="s">
        <v>69</v>
      </c>
      <c r="H15" s="24">
        <v>58</v>
      </c>
      <c r="I15" s="24">
        <v>3480</v>
      </c>
      <c r="J15" s="25">
        <f>Table5[[#This Row],[DAILY TOTAL SALES]]*7</f>
        <v>24360</v>
      </c>
      <c r="K15" s="24" t="s">
        <v>296</v>
      </c>
    </row>
    <row r="16" spans="1:11" x14ac:dyDescent="0.3">
      <c r="A16" s="23" t="s">
        <v>193</v>
      </c>
      <c r="B16" s="24" t="s">
        <v>82</v>
      </c>
      <c r="C16" s="24" t="s">
        <v>229</v>
      </c>
      <c r="D16" s="24" t="s">
        <v>15</v>
      </c>
      <c r="E16" s="24" t="s">
        <v>18</v>
      </c>
      <c r="F16" s="24" t="s">
        <v>62</v>
      </c>
      <c r="G16" s="24" t="s">
        <v>69</v>
      </c>
      <c r="H16" s="24">
        <v>22</v>
      </c>
      <c r="I16" s="24">
        <v>1320</v>
      </c>
      <c r="J16" s="25">
        <f>Table5[[#This Row],[DAILY TOTAL SALES]]*7</f>
        <v>9240</v>
      </c>
      <c r="K16" s="24" t="s">
        <v>296</v>
      </c>
    </row>
    <row r="17" spans="1:11" x14ac:dyDescent="0.3">
      <c r="A17" s="23" t="s">
        <v>194</v>
      </c>
      <c r="B17" s="24" t="s">
        <v>166</v>
      </c>
      <c r="C17" s="24" t="s">
        <v>229</v>
      </c>
      <c r="D17" s="24" t="s">
        <v>15</v>
      </c>
      <c r="E17" s="24" t="s">
        <v>18</v>
      </c>
      <c r="F17" s="24" t="s">
        <v>62</v>
      </c>
      <c r="G17" s="24" t="s">
        <v>69</v>
      </c>
      <c r="H17" s="24">
        <v>67</v>
      </c>
      <c r="I17" s="24">
        <v>4020</v>
      </c>
      <c r="J17" s="25">
        <f>Table5[[#This Row],[DAILY TOTAL SALES]]*7</f>
        <v>28140</v>
      </c>
      <c r="K17" s="24" t="s">
        <v>296</v>
      </c>
    </row>
    <row r="18" spans="1:11" x14ac:dyDescent="0.3">
      <c r="A18" s="23" t="s">
        <v>195</v>
      </c>
      <c r="B18" s="24" t="s">
        <v>80</v>
      </c>
      <c r="C18" s="24" t="s">
        <v>229</v>
      </c>
      <c r="D18" s="24" t="s">
        <v>232</v>
      </c>
      <c r="E18" s="24" t="s">
        <v>18</v>
      </c>
      <c r="F18" s="24" t="s">
        <v>62</v>
      </c>
      <c r="G18" s="24" t="s">
        <v>69</v>
      </c>
      <c r="H18" s="24">
        <v>49</v>
      </c>
      <c r="I18" s="24">
        <v>2940</v>
      </c>
      <c r="J18" s="25">
        <f>Table5[[#This Row],[DAILY TOTAL SALES]]*7</f>
        <v>20580</v>
      </c>
      <c r="K18" s="24" t="s">
        <v>296</v>
      </c>
    </row>
    <row r="19" spans="1:11" x14ac:dyDescent="0.3">
      <c r="A19" s="23" t="s">
        <v>196</v>
      </c>
      <c r="B19" s="24" t="s">
        <v>86</v>
      </c>
      <c r="C19" s="24" t="s">
        <v>229</v>
      </c>
      <c r="D19" s="24" t="s">
        <v>232</v>
      </c>
      <c r="E19" s="24" t="s">
        <v>113</v>
      </c>
      <c r="F19" s="24" t="s">
        <v>62</v>
      </c>
      <c r="G19" s="24" t="s">
        <v>235</v>
      </c>
      <c r="H19" s="24">
        <v>57</v>
      </c>
      <c r="I19" s="24">
        <v>3420</v>
      </c>
      <c r="J19" s="25">
        <f>Table5[[#This Row],[DAILY TOTAL SALES]]*7</f>
        <v>23940</v>
      </c>
      <c r="K19" s="24" t="s">
        <v>296</v>
      </c>
    </row>
    <row r="20" spans="1:11" x14ac:dyDescent="0.3">
      <c r="A20" s="23" t="s">
        <v>197</v>
      </c>
      <c r="B20" s="24" t="s">
        <v>103</v>
      </c>
      <c r="C20" s="24" t="s">
        <v>229</v>
      </c>
      <c r="D20" s="24" t="s">
        <v>9</v>
      </c>
      <c r="E20" s="24" t="s">
        <v>113</v>
      </c>
      <c r="F20" s="24" t="s">
        <v>62</v>
      </c>
      <c r="G20" s="24" t="s">
        <v>235</v>
      </c>
      <c r="H20" s="24">
        <v>38</v>
      </c>
      <c r="I20" s="24">
        <v>2280</v>
      </c>
      <c r="J20" s="25">
        <f>Table5[[#This Row],[DAILY TOTAL SALES]]*7</f>
        <v>15960</v>
      </c>
      <c r="K20" s="24" t="s">
        <v>296</v>
      </c>
    </row>
    <row r="21" spans="1:11" x14ac:dyDescent="0.3">
      <c r="A21" s="23" t="s">
        <v>198</v>
      </c>
      <c r="B21" s="24" t="s">
        <v>85</v>
      </c>
      <c r="C21" s="24" t="s">
        <v>229</v>
      </c>
      <c r="D21" s="24" t="s">
        <v>9</v>
      </c>
      <c r="E21" s="24" t="s">
        <v>113</v>
      </c>
      <c r="F21" s="24" t="s">
        <v>62</v>
      </c>
      <c r="G21" s="24" t="s">
        <v>235</v>
      </c>
      <c r="H21" s="24">
        <v>11</v>
      </c>
      <c r="I21" s="24">
        <v>660</v>
      </c>
      <c r="J21" s="25">
        <f>Table5[[#This Row],[DAILY TOTAL SALES]]*7</f>
        <v>4620</v>
      </c>
      <c r="K21" s="24" t="s">
        <v>296</v>
      </c>
    </row>
    <row r="22" spans="1:11" x14ac:dyDescent="0.3">
      <c r="A22" s="23" t="s">
        <v>199</v>
      </c>
      <c r="B22" s="24" t="s">
        <v>168</v>
      </c>
      <c r="C22" s="24" t="s">
        <v>229</v>
      </c>
      <c r="D22" s="24" t="s">
        <v>9</v>
      </c>
      <c r="E22" s="24" t="s">
        <v>113</v>
      </c>
      <c r="F22" s="24" t="s">
        <v>62</v>
      </c>
      <c r="G22" s="24" t="s">
        <v>235</v>
      </c>
      <c r="H22" s="24">
        <v>66</v>
      </c>
      <c r="I22" s="24">
        <v>3960</v>
      </c>
      <c r="J22" s="25">
        <f>Table5[[#This Row],[DAILY TOTAL SALES]]*7</f>
        <v>27720</v>
      </c>
      <c r="K22" s="24" t="s">
        <v>296</v>
      </c>
    </row>
    <row r="23" spans="1:11" x14ac:dyDescent="0.3">
      <c r="A23" s="23" t="s">
        <v>200</v>
      </c>
      <c r="B23" s="24" t="s">
        <v>169</v>
      </c>
      <c r="C23" s="24" t="s">
        <v>229</v>
      </c>
      <c r="D23" s="24" t="s">
        <v>9</v>
      </c>
      <c r="E23" s="24" t="s">
        <v>113</v>
      </c>
      <c r="F23" s="24" t="s">
        <v>62</v>
      </c>
      <c r="G23" s="24" t="s">
        <v>235</v>
      </c>
      <c r="H23" s="24">
        <v>31</v>
      </c>
      <c r="I23" s="24">
        <v>1860</v>
      </c>
      <c r="J23" s="25">
        <f>Table5[[#This Row],[DAILY TOTAL SALES]]*7</f>
        <v>13020</v>
      </c>
      <c r="K23" s="24" t="s">
        <v>296</v>
      </c>
    </row>
    <row r="24" spans="1:11" x14ac:dyDescent="0.3">
      <c r="A24" s="23" t="s">
        <v>201</v>
      </c>
      <c r="B24" s="24" t="s">
        <v>82</v>
      </c>
      <c r="C24" s="24" t="s">
        <v>229</v>
      </c>
      <c r="D24" s="24" t="s">
        <v>9</v>
      </c>
      <c r="E24" s="24" t="s">
        <v>113</v>
      </c>
      <c r="F24" s="24" t="s">
        <v>67</v>
      </c>
      <c r="G24" s="24" t="s">
        <v>235</v>
      </c>
      <c r="H24" s="24">
        <v>17</v>
      </c>
      <c r="I24" s="24">
        <v>1020</v>
      </c>
      <c r="J24" s="25">
        <f>Table5[[#This Row],[DAILY TOTAL SALES]]*7</f>
        <v>7140</v>
      </c>
      <c r="K24" s="24" t="s">
        <v>296</v>
      </c>
    </row>
    <row r="25" spans="1:11" x14ac:dyDescent="0.3">
      <c r="A25" s="23" t="s">
        <v>202</v>
      </c>
      <c r="B25" s="24" t="s">
        <v>166</v>
      </c>
      <c r="C25" s="24" t="s">
        <v>229</v>
      </c>
      <c r="D25" s="24" t="s">
        <v>9</v>
      </c>
      <c r="E25" s="24" t="s">
        <v>113</v>
      </c>
      <c r="F25" s="24" t="s">
        <v>67</v>
      </c>
      <c r="G25" s="24" t="s">
        <v>235</v>
      </c>
      <c r="H25" s="24">
        <v>21</v>
      </c>
      <c r="I25" s="24">
        <v>1260</v>
      </c>
      <c r="J25" s="25">
        <f>Table5[[#This Row],[DAILY TOTAL SALES]]*7</f>
        <v>8820</v>
      </c>
      <c r="K25" s="24" t="s">
        <v>296</v>
      </c>
    </row>
    <row r="26" spans="1:11" x14ac:dyDescent="0.3">
      <c r="A26" s="23" t="s">
        <v>203</v>
      </c>
      <c r="B26" s="24" t="s">
        <v>109</v>
      </c>
      <c r="C26" s="24" t="s">
        <v>229</v>
      </c>
      <c r="D26" s="24" t="s">
        <v>9</v>
      </c>
      <c r="E26" s="24" t="s">
        <v>113</v>
      </c>
      <c r="F26" s="24" t="s">
        <v>67</v>
      </c>
      <c r="G26" s="24" t="s">
        <v>235</v>
      </c>
      <c r="H26" s="24">
        <v>61</v>
      </c>
      <c r="I26" s="24">
        <v>3660</v>
      </c>
      <c r="J26" s="25">
        <f>Table5[[#This Row],[DAILY TOTAL SALES]]*7</f>
        <v>25620</v>
      </c>
      <c r="K26" s="24" t="s">
        <v>292</v>
      </c>
    </row>
    <row r="27" spans="1:11" x14ac:dyDescent="0.3">
      <c r="A27" s="23" t="s">
        <v>204</v>
      </c>
      <c r="B27" s="24" t="s">
        <v>103</v>
      </c>
      <c r="C27" s="24" t="s">
        <v>229</v>
      </c>
      <c r="D27" s="24" t="s">
        <v>9</v>
      </c>
      <c r="E27" s="24" t="s">
        <v>113</v>
      </c>
      <c r="F27" s="24" t="s">
        <v>67</v>
      </c>
      <c r="G27" s="24" t="s">
        <v>235</v>
      </c>
      <c r="H27" s="24">
        <v>48</v>
      </c>
      <c r="I27" s="24">
        <v>2880</v>
      </c>
      <c r="J27" s="25">
        <f>Table5[[#This Row],[DAILY TOTAL SALES]]*7</f>
        <v>20160</v>
      </c>
      <c r="K27" s="24" t="s">
        <v>292</v>
      </c>
    </row>
    <row r="28" spans="1:11" x14ac:dyDescent="0.3">
      <c r="A28" s="23" t="s">
        <v>205</v>
      </c>
      <c r="B28" s="24" t="s">
        <v>83</v>
      </c>
      <c r="C28" s="24" t="s">
        <v>229</v>
      </c>
      <c r="D28" s="24" t="s">
        <v>233</v>
      </c>
      <c r="E28" s="24" t="s">
        <v>113</v>
      </c>
      <c r="F28" s="24" t="s">
        <v>67</v>
      </c>
      <c r="G28" s="24" t="s">
        <v>235</v>
      </c>
      <c r="H28" s="24">
        <v>43</v>
      </c>
      <c r="I28" s="24">
        <v>2580</v>
      </c>
      <c r="J28" s="25">
        <f>Table5[[#This Row],[DAILY TOTAL SALES]]*7</f>
        <v>18060</v>
      </c>
      <c r="K28" s="24" t="s">
        <v>292</v>
      </c>
    </row>
    <row r="29" spans="1:11" x14ac:dyDescent="0.3">
      <c r="A29" s="23" t="s">
        <v>206</v>
      </c>
      <c r="B29" s="24" t="s">
        <v>173</v>
      </c>
      <c r="C29" s="24" t="s">
        <v>229</v>
      </c>
      <c r="D29" s="24" t="s">
        <v>233</v>
      </c>
      <c r="E29" s="24" t="s">
        <v>113</v>
      </c>
      <c r="F29" s="24" t="s">
        <v>67</v>
      </c>
      <c r="G29" s="24" t="s">
        <v>235</v>
      </c>
      <c r="H29" s="24">
        <v>34</v>
      </c>
      <c r="I29" s="24">
        <v>2040</v>
      </c>
      <c r="J29" s="25">
        <f>Table5[[#This Row],[DAILY TOTAL SALES]]*7</f>
        <v>14280</v>
      </c>
      <c r="K29" s="24" t="s">
        <v>292</v>
      </c>
    </row>
    <row r="30" spans="1:11" x14ac:dyDescent="0.3">
      <c r="A30" s="23" t="s">
        <v>207</v>
      </c>
      <c r="B30" s="24" t="s">
        <v>104</v>
      </c>
      <c r="C30" s="24" t="s">
        <v>229</v>
      </c>
      <c r="D30" s="24" t="s">
        <v>233</v>
      </c>
      <c r="E30" s="24" t="s">
        <v>113</v>
      </c>
      <c r="F30" s="24" t="s">
        <v>67</v>
      </c>
      <c r="G30" s="24" t="s">
        <v>235</v>
      </c>
      <c r="H30" s="24">
        <v>10</v>
      </c>
      <c r="I30" s="24">
        <v>600</v>
      </c>
      <c r="J30" s="25">
        <f>Table5[[#This Row],[DAILY TOTAL SALES]]*7</f>
        <v>4200</v>
      </c>
      <c r="K30" s="24" t="s">
        <v>292</v>
      </c>
    </row>
    <row r="31" spans="1:11" x14ac:dyDescent="0.3">
      <c r="A31" s="23" t="s">
        <v>208</v>
      </c>
      <c r="B31" s="24" t="s">
        <v>174</v>
      </c>
      <c r="C31" s="24" t="s">
        <v>229</v>
      </c>
      <c r="D31" s="24" t="s">
        <v>233</v>
      </c>
      <c r="E31" s="24" t="s">
        <v>113</v>
      </c>
      <c r="F31" s="24" t="s">
        <v>67</v>
      </c>
      <c r="G31" s="24" t="s">
        <v>235</v>
      </c>
      <c r="H31" s="24">
        <v>79</v>
      </c>
      <c r="I31" s="24">
        <v>4740</v>
      </c>
      <c r="J31" s="25">
        <f>Table5[[#This Row],[DAILY TOTAL SALES]]*7</f>
        <v>33180</v>
      </c>
      <c r="K31" s="24" t="s">
        <v>292</v>
      </c>
    </row>
    <row r="32" spans="1:11" x14ac:dyDescent="0.3">
      <c r="A32" s="23" t="s">
        <v>209</v>
      </c>
      <c r="B32" s="24" t="s">
        <v>81</v>
      </c>
      <c r="C32" s="24" t="s">
        <v>229</v>
      </c>
      <c r="D32" s="24" t="s">
        <v>233</v>
      </c>
      <c r="E32" s="24" t="s">
        <v>113</v>
      </c>
      <c r="F32" s="24" t="s">
        <v>67</v>
      </c>
      <c r="G32" s="24" t="s">
        <v>235</v>
      </c>
      <c r="H32" s="24">
        <v>69</v>
      </c>
      <c r="I32" s="24">
        <v>4140</v>
      </c>
      <c r="J32" s="25">
        <f>Table5[[#This Row],[DAILY TOTAL SALES]]*7</f>
        <v>28980</v>
      </c>
      <c r="K32" s="24" t="s">
        <v>292</v>
      </c>
    </row>
    <row r="33" spans="1:11" x14ac:dyDescent="0.3">
      <c r="A33" s="23" t="s">
        <v>210</v>
      </c>
      <c r="B33" s="24" t="s">
        <v>82</v>
      </c>
      <c r="C33" s="24" t="s">
        <v>229</v>
      </c>
      <c r="D33" s="24" t="s">
        <v>233</v>
      </c>
      <c r="E33" s="24" t="s">
        <v>113</v>
      </c>
      <c r="F33" s="24" t="s">
        <v>67</v>
      </c>
      <c r="G33" s="24" t="s">
        <v>235</v>
      </c>
      <c r="H33" s="24">
        <v>47</v>
      </c>
      <c r="I33" s="24">
        <v>2820</v>
      </c>
      <c r="J33" s="25">
        <f>Table5[[#This Row],[DAILY TOTAL SALES]]*7</f>
        <v>19740</v>
      </c>
      <c r="K33" s="24" t="s">
        <v>292</v>
      </c>
    </row>
    <row r="34" spans="1:11" x14ac:dyDescent="0.3">
      <c r="A34" s="23" t="s">
        <v>211</v>
      </c>
      <c r="B34" s="24" t="s">
        <v>103</v>
      </c>
      <c r="C34" s="24" t="s">
        <v>229</v>
      </c>
      <c r="D34" s="24" t="s">
        <v>233</v>
      </c>
      <c r="E34" s="24" t="s">
        <v>18</v>
      </c>
      <c r="F34" s="24" t="s">
        <v>67</v>
      </c>
      <c r="G34" s="24" t="s">
        <v>235</v>
      </c>
      <c r="H34" s="24">
        <v>22</v>
      </c>
      <c r="I34" s="24">
        <v>1320</v>
      </c>
      <c r="J34" s="25">
        <f>Table5[[#This Row],[DAILY TOTAL SALES]]*7</f>
        <v>9240</v>
      </c>
      <c r="K34" s="24" t="s">
        <v>292</v>
      </c>
    </row>
    <row r="35" spans="1:11" x14ac:dyDescent="0.3">
      <c r="A35" s="23" t="s">
        <v>212</v>
      </c>
      <c r="B35" s="24" t="s">
        <v>80</v>
      </c>
      <c r="C35" s="24" t="s">
        <v>229</v>
      </c>
      <c r="D35" s="24" t="s">
        <v>233</v>
      </c>
      <c r="E35" s="24" t="s">
        <v>18</v>
      </c>
      <c r="F35" s="24" t="s">
        <v>67</v>
      </c>
      <c r="G35" s="24" t="s">
        <v>235</v>
      </c>
      <c r="H35" s="24">
        <v>56</v>
      </c>
      <c r="I35" s="24">
        <v>3360</v>
      </c>
      <c r="J35" s="25">
        <f>Table5[[#This Row],[DAILY TOTAL SALES]]*7</f>
        <v>23520</v>
      </c>
      <c r="K35" s="24" t="s">
        <v>292</v>
      </c>
    </row>
    <row r="36" spans="1:11" x14ac:dyDescent="0.3">
      <c r="A36" s="23" t="s">
        <v>213</v>
      </c>
      <c r="B36" s="24" t="s">
        <v>86</v>
      </c>
      <c r="C36" s="24" t="s">
        <v>229</v>
      </c>
      <c r="D36" s="24" t="s">
        <v>233</v>
      </c>
      <c r="E36" s="24" t="s">
        <v>18</v>
      </c>
      <c r="F36" s="24" t="s">
        <v>67</v>
      </c>
      <c r="G36" s="24" t="s">
        <v>235</v>
      </c>
      <c r="H36" s="24">
        <v>38</v>
      </c>
      <c r="I36" s="24">
        <v>2280</v>
      </c>
      <c r="J36" s="25">
        <f>Table5[[#This Row],[DAILY TOTAL SALES]]*7</f>
        <v>15960</v>
      </c>
      <c r="K36" s="24" t="s">
        <v>292</v>
      </c>
    </row>
    <row r="37" spans="1:11" x14ac:dyDescent="0.3">
      <c r="A37" s="23" t="s">
        <v>214</v>
      </c>
      <c r="B37" s="24" t="s">
        <v>85</v>
      </c>
      <c r="C37" s="24" t="s">
        <v>229</v>
      </c>
      <c r="D37" s="24" t="s">
        <v>233</v>
      </c>
      <c r="E37" s="24" t="s">
        <v>18</v>
      </c>
      <c r="F37" s="24" t="s">
        <v>234</v>
      </c>
      <c r="G37" s="24" t="s">
        <v>235</v>
      </c>
      <c r="H37" s="24">
        <v>39</v>
      </c>
      <c r="I37" s="24">
        <v>2340</v>
      </c>
      <c r="J37" s="25">
        <f>Table5[[#This Row],[DAILY TOTAL SALES]]*7</f>
        <v>16380</v>
      </c>
      <c r="K37" s="24" t="s">
        <v>292</v>
      </c>
    </row>
    <row r="38" spans="1:11" x14ac:dyDescent="0.3">
      <c r="A38" s="23" t="s">
        <v>215</v>
      </c>
      <c r="B38" s="24" t="s">
        <v>167</v>
      </c>
      <c r="C38" s="24" t="s">
        <v>229</v>
      </c>
      <c r="D38" s="24" t="s">
        <v>233</v>
      </c>
      <c r="E38" s="24" t="s">
        <v>18</v>
      </c>
      <c r="F38" s="24" t="s">
        <v>62</v>
      </c>
      <c r="G38" s="24" t="s">
        <v>235</v>
      </c>
      <c r="H38" s="24">
        <v>19</v>
      </c>
      <c r="I38" s="24">
        <v>1140</v>
      </c>
      <c r="J38" s="25">
        <f>Table5[[#This Row],[DAILY TOTAL SALES]]*7</f>
        <v>7980</v>
      </c>
      <c r="K38" s="24" t="s">
        <v>292</v>
      </c>
    </row>
    <row r="39" spans="1:11" x14ac:dyDescent="0.3">
      <c r="A39" s="23" t="s">
        <v>216</v>
      </c>
      <c r="B39" s="24" t="s">
        <v>81</v>
      </c>
      <c r="C39" s="24" t="s">
        <v>229</v>
      </c>
      <c r="D39" s="24" t="s">
        <v>233</v>
      </c>
      <c r="E39" s="24" t="s">
        <v>18</v>
      </c>
      <c r="F39" s="24" t="s">
        <v>64</v>
      </c>
      <c r="G39" s="24" t="s">
        <v>235</v>
      </c>
      <c r="H39" s="24">
        <v>44</v>
      </c>
      <c r="I39" s="24">
        <v>2640</v>
      </c>
      <c r="J39" s="25">
        <f>Table5[[#This Row],[DAILY TOTAL SALES]]*7</f>
        <v>18480</v>
      </c>
      <c r="K39" s="24" t="s">
        <v>292</v>
      </c>
    </row>
    <row r="40" spans="1:11" x14ac:dyDescent="0.3">
      <c r="A40" s="23" t="s">
        <v>217</v>
      </c>
      <c r="B40" s="24" t="s">
        <v>166</v>
      </c>
      <c r="C40" s="24" t="s">
        <v>229</v>
      </c>
      <c r="D40" s="24" t="s">
        <v>9</v>
      </c>
      <c r="E40" s="24" t="s">
        <v>18</v>
      </c>
      <c r="F40" s="24" t="s">
        <v>64</v>
      </c>
      <c r="G40" s="24" t="s">
        <v>235</v>
      </c>
      <c r="H40" s="24">
        <v>41</v>
      </c>
      <c r="I40" s="24">
        <v>2460</v>
      </c>
      <c r="J40" s="25">
        <f>Table5[[#This Row],[DAILY TOTAL SALES]]*7</f>
        <v>17220</v>
      </c>
      <c r="K40" s="24" t="s">
        <v>292</v>
      </c>
    </row>
    <row r="41" spans="1:11" x14ac:dyDescent="0.3">
      <c r="A41" s="23" t="s">
        <v>218</v>
      </c>
      <c r="B41" s="24" t="s">
        <v>169</v>
      </c>
      <c r="C41" s="24" t="s">
        <v>229</v>
      </c>
      <c r="D41" s="24" t="s">
        <v>9</v>
      </c>
      <c r="E41" s="24" t="s">
        <v>18</v>
      </c>
      <c r="F41" s="24" t="s">
        <v>64</v>
      </c>
      <c r="G41" s="24" t="s">
        <v>235</v>
      </c>
      <c r="H41" s="24">
        <v>36</v>
      </c>
      <c r="I41" s="24">
        <v>2160</v>
      </c>
      <c r="J41" s="25">
        <f>Table5[[#This Row],[DAILY TOTAL SALES]]*7</f>
        <v>15120</v>
      </c>
      <c r="K41" s="24" t="s">
        <v>292</v>
      </c>
    </row>
    <row r="42" spans="1:11" x14ac:dyDescent="0.3">
      <c r="A42" s="23" t="s">
        <v>219</v>
      </c>
      <c r="B42" s="24" t="s">
        <v>168</v>
      </c>
      <c r="C42" s="24" t="s">
        <v>229</v>
      </c>
      <c r="D42" s="24" t="s">
        <v>9</v>
      </c>
      <c r="E42" s="24" t="s">
        <v>18</v>
      </c>
      <c r="F42" s="24" t="s">
        <v>64</v>
      </c>
      <c r="G42" s="24" t="s">
        <v>69</v>
      </c>
      <c r="H42" s="24">
        <v>56</v>
      </c>
      <c r="I42" s="24">
        <v>3360</v>
      </c>
      <c r="J42" s="25">
        <f>Table5[[#This Row],[DAILY TOTAL SALES]]*7</f>
        <v>23520</v>
      </c>
      <c r="K42" s="24" t="s">
        <v>292</v>
      </c>
    </row>
    <row r="43" spans="1:11" x14ac:dyDescent="0.3">
      <c r="A43" s="23" t="s">
        <v>220</v>
      </c>
      <c r="B43" s="24" t="s">
        <v>83</v>
      </c>
      <c r="C43" s="24" t="s">
        <v>229</v>
      </c>
      <c r="D43" s="24" t="s">
        <v>9</v>
      </c>
      <c r="E43" s="24" t="s">
        <v>18</v>
      </c>
      <c r="F43" s="24" t="s">
        <v>64</v>
      </c>
      <c r="G43" s="24" t="s">
        <v>69</v>
      </c>
      <c r="H43" s="24">
        <v>71</v>
      </c>
      <c r="I43" s="24">
        <v>4260</v>
      </c>
      <c r="J43" s="25">
        <f>Table5[[#This Row],[DAILY TOTAL SALES]]*7</f>
        <v>29820</v>
      </c>
      <c r="K43" s="24" t="s">
        <v>292</v>
      </c>
    </row>
    <row r="44" spans="1:11" x14ac:dyDescent="0.3">
      <c r="A44" s="23" t="s">
        <v>221</v>
      </c>
      <c r="B44" s="24" t="s">
        <v>106</v>
      </c>
      <c r="C44" s="24" t="s">
        <v>229</v>
      </c>
      <c r="D44" s="24" t="s">
        <v>9</v>
      </c>
      <c r="E44" s="24" t="s">
        <v>18</v>
      </c>
      <c r="F44" s="24" t="s">
        <v>64</v>
      </c>
      <c r="G44" s="24" t="s">
        <v>69</v>
      </c>
      <c r="H44" s="24">
        <v>29</v>
      </c>
      <c r="I44" s="24">
        <v>1740</v>
      </c>
      <c r="J44" s="25">
        <f>Table5[[#This Row],[DAILY TOTAL SALES]]*7</f>
        <v>12180</v>
      </c>
      <c r="K44" s="24" t="s">
        <v>292</v>
      </c>
    </row>
    <row r="45" spans="1:11" x14ac:dyDescent="0.3">
      <c r="A45" s="23" t="s">
        <v>222</v>
      </c>
      <c r="B45" s="24" t="s">
        <v>109</v>
      </c>
      <c r="C45" s="24" t="s">
        <v>229</v>
      </c>
      <c r="D45" s="24" t="s">
        <v>9</v>
      </c>
      <c r="E45" s="24" t="s">
        <v>18</v>
      </c>
      <c r="F45" s="24" t="s">
        <v>64</v>
      </c>
      <c r="G45" s="24" t="s">
        <v>69</v>
      </c>
      <c r="H45" s="24">
        <v>56</v>
      </c>
      <c r="I45" s="24">
        <v>3360</v>
      </c>
      <c r="J45" s="25">
        <f>Table5[[#This Row],[DAILY TOTAL SALES]]*7</f>
        <v>23520</v>
      </c>
      <c r="K45" s="24" t="s">
        <v>292</v>
      </c>
    </row>
    <row r="46" spans="1:11" x14ac:dyDescent="0.3">
      <c r="A46" s="23" t="s">
        <v>223</v>
      </c>
      <c r="B46" s="24" t="s">
        <v>230</v>
      </c>
      <c r="C46" s="24" t="s">
        <v>229</v>
      </c>
      <c r="D46" s="24" t="s">
        <v>9</v>
      </c>
      <c r="E46" s="24" t="s">
        <v>18</v>
      </c>
      <c r="F46" s="24" t="s">
        <v>64</v>
      </c>
      <c r="G46" s="24" t="s">
        <v>69</v>
      </c>
      <c r="H46" s="24">
        <v>71</v>
      </c>
      <c r="I46" s="24">
        <v>4260</v>
      </c>
      <c r="J46" s="25">
        <f>Table5[[#This Row],[DAILY TOTAL SALES]]*7</f>
        <v>29820</v>
      </c>
      <c r="K46" s="24" t="s">
        <v>292</v>
      </c>
    </row>
    <row r="47" spans="1:11" x14ac:dyDescent="0.3">
      <c r="A47" s="23" t="s">
        <v>224</v>
      </c>
      <c r="B47" s="24" t="s">
        <v>174</v>
      </c>
      <c r="C47" s="24" t="s">
        <v>229</v>
      </c>
      <c r="D47" s="24" t="s">
        <v>9</v>
      </c>
      <c r="E47" s="24" t="s">
        <v>18</v>
      </c>
      <c r="F47" s="24" t="s">
        <v>64</v>
      </c>
      <c r="G47" s="24" t="s">
        <v>69</v>
      </c>
      <c r="H47" s="24">
        <v>44</v>
      </c>
      <c r="I47" s="24">
        <v>2640</v>
      </c>
      <c r="J47" s="25">
        <f>Table5[[#This Row],[DAILY TOTAL SALES]]*7</f>
        <v>18480</v>
      </c>
      <c r="K47" s="24" t="s">
        <v>292</v>
      </c>
    </row>
    <row r="48" spans="1:11" x14ac:dyDescent="0.3">
      <c r="A48" s="23" t="s">
        <v>225</v>
      </c>
      <c r="B48" s="24" t="s">
        <v>231</v>
      </c>
      <c r="C48" s="24" t="s">
        <v>229</v>
      </c>
      <c r="D48" s="24" t="s">
        <v>9</v>
      </c>
      <c r="E48" s="24" t="s">
        <v>18</v>
      </c>
      <c r="F48" s="24" t="s">
        <v>64</v>
      </c>
      <c r="G48" s="24" t="s">
        <v>69</v>
      </c>
      <c r="H48" s="24">
        <v>41</v>
      </c>
      <c r="I48" s="24">
        <v>2460</v>
      </c>
      <c r="J48" s="25">
        <f>Table5[[#This Row],[DAILY TOTAL SALES]]*7</f>
        <v>17220</v>
      </c>
      <c r="K48" s="24" t="s">
        <v>292</v>
      </c>
    </row>
    <row r="49" spans="1:11" x14ac:dyDescent="0.3">
      <c r="A49" s="23" t="s">
        <v>226</v>
      </c>
      <c r="B49" s="24" t="s">
        <v>81</v>
      </c>
      <c r="C49" s="24" t="s">
        <v>229</v>
      </c>
      <c r="D49" s="24" t="s">
        <v>233</v>
      </c>
      <c r="E49" s="24" t="s">
        <v>18</v>
      </c>
      <c r="F49" s="24" t="s">
        <v>64</v>
      </c>
      <c r="G49" s="24" t="s">
        <v>69</v>
      </c>
      <c r="H49" s="24">
        <v>14</v>
      </c>
      <c r="I49" s="24">
        <v>840</v>
      </c>
      <c r="J49" s="25">
        <f>Table5[[#This Row],[DAILY TOTAL SALES]]*7</f>
        <v>5880</v>
      </c>
      <c r="K49" s="24" t="s">
        <v>292</v>
      </c>
    </row>
    <row r="50" spans="1:11" x14ac:dyDescent="0.3">
      <c r="A50" s="23" t="s">
        <v>227</v>
      </c>
      <c r="B50" s="24" t="s">
        <v>104</v>
      </c>
      <c r="C50" s="24" t="s">
        <v>229</v>
      </c>
      <c r="D50" s="24" t="s">
        <v>233</v>
      </c>
      <c r="E50" s="24" t="s">
        <v>18</v>
      </c>
      <c r="F50" s="24" t="s">
        <v>64</v>
      </c>
      <c r="G50" s="24" t="s">
        <v>69</v>
      </c>
      <c r="H50" s="24">
        <v>36</v>
      </c>
      <c r="I50" s="24">
        <v>2160</v>
      </c>
      <c r="J50" s="25">
        <f>Table5[[#This Row],[DAILY TOTAL SALES]]*7</f>
        <v>15120</v>
      </c>
      <c r="K50" s="24" t="s">
        <v>292</v>
      </c>
    </row>
    <row r="51" spans="1:11" x14ac:dyDescent="0.3">
      <c r="A51" s="26" t="s">
        <v>228</v>
      </c>
      <c r="B51" s="27" t="s">
        <v>86</v>
      </c>
      <c r="C51" s="27" t="s">
        <v>229</v>
      </c>
      <c r="D51" s="27" t="s">
        <v>233</v>
      </c>
      <c r="E51" s="27" t="s">
        <v>18</v>
      </c>
      <c r="F51" s="27" t="s">
        <v>64</v>
      </c>
      <c r="G51" s="27" t="s">
        <v>69</v>
      </c>
      <c r="H51" s="27">
        <v>28</v>
      </c>
      <c r="I51" s="27">
        <v>1680</v>
      </c>
      <c r="J51" s="28">
        <f>Table5[[#This Row],[DAILY TOTAL SALES]]*7</f>
        <v>11760</v>
      </c>
      <c r="K51" s="24" t="s">
        <v>292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0A8E-C9DB-46C0-9EFF-1FBDD8F66222}">
  <dimension ref="A1:K51"/>
  <sheetViews>
    <sheetView zoomScale="55" zoomScaleNormal="55" workbookViewId="0">
      <selection activeCell="K2" sqref="K2:K51"/>
    </sheetView>
  </sheetViews>
  <sheetFormatPr defaultRowHeight="14.4" x14ac:dyDescent="0.3"/>
  <cols>
    <col min="1" max="1" width="29" customWidth="1"/>
    <col min="2" max="2" width="30.5546875" customWidth="1"/>
    <col min="3" max="3" width="17.109375" customWidth="1"/>
    <col min="4" max="4" width="31.77734375" customWidth="1"/>
    <col min="5" max="5" width="30.5546875" customWidth="1"/>
    <col min="6" max="6" width="28.109375" customWidth="1"/>
    <col min="7" max="7" width="26" customWidth="1"/>
    <col min="8" max="8" width="20.5546875" customWidth="1"/>
    <col min="9" max="9" width="20.109375" customWidth="1"/>
    <col min="10" max="10" width="21.21875" customWidth="1"/>
    <col min="11" max="11" width="22.8867187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303</v>
      </c>
      <c r="E1" s="2" t="s">
        <v>305</v>
      </c>
      <c r="F1" s="2" t="s">
        <v>302</v>
      </c>
      <c r="G1" s="2" t="s">
        <v>4</v>
      </c>
      <c r="H1" s="2" t="s">
        <v>6</v>
      </c>
      <c r="I1" s="2" t="s">
        <v>7</v>
      </c>
      <c r="J1" s="3" t="s">
        <v>304</v>
      </c>
      <c r="K1" s="2" t="s">
        <v>301</v>
      </c>
    </row>
    <row r="2" spans="1:11" x14ac:dyDescent="0.3">
      <c r="A2" s="16" t="s">
        <v>236</v>
      </c>
      <c r="B2" s="6" t="s">
        <v>109</v>
      </c>
      <c r="C2" s="6" t="s">
        <v>287</v>
      </c>
      <c r="D2" s="6" t="s">
        <v>232</v>
      </c>
      <c r="E2" s="6" t="s">
        <v>14</v>
      </c>
      <c r="F2" s="6" t="s">
        <v>67</v>
      </c>
      <c r="G2" s="6" t="s">
        <v>69</v>
      </c>
      <c r="H2" s="6">
        <v>5400</v>
      </c>
      <c r="I2" s="6">
        <v>324000</v>
      </c>
      <c r="J2" s="17">
        <f>Table6[[#This Row],[DAILY TOTAL SALES]]*7</f>
        <v>2268000</v>
      </c>
      <c r="K2" s="2" t="s">
        <v>292</v>
      </c>
    </row>
    <row r="3" spans="1:11" x14ac:dyDescent="0.3">
      <c r="A3" s="16" t="s">
        <v>237</v>
      </c>
      <c r="B3" s="6" t="s">
        <v>166</v>
      </c>
      <c r="C3" s="6" t="s">
        <v>287</v>
      </c>
      <c r="D3" s="6" t="s">
        <v>232</v>
      </c>
      <c r="E3" s="6" t="s">
        <v>14</v>
      </c>
      <c r="F3" s="6" t="s">
        <v>67</v>
      </c>
      <c r="G3" s="6" t="s">
        <v>69</v>
      </c>
      <c r="H3" s="6">
        <v>1254</v>
      </c>
      <c r="I3" s="6">
        <v>75240</v>
      </c>
      <c r="J3" s="17">
        <f>Table6[[#This Row],[DAILY TOTAL SALES]]*7</f>
        <v>526680</v>
      </c>
      <c r="K3" s="2" t="s">
        <v>292</v>
      </c>
    </row>
    <row r="4" spans="1:11" x14ac:dyDescent="0.3">
      <c r="A4" s="16" t="s">
        <v>238</v>
      </c>
      <c r="B4" s="6" t="s">
        <v>104</v>
      </c>
      <c r="C4" s="6" t="s">
        <v>287</v>
      </c>
      <c r="D4" s="6" t="s">
        <v>232</v>
      </c>
      <c r="E4" s="6" t="s">
        <v>14</v>
      </c>
      <c r="F4" s="6" t="s">
        <v>67</v>
      </c>
      <c r="G4" s="6" t="s">
        <v>69</v>
      </c>
      <c r="H4" s="6">
        <v>4587</v>
      </c>
      <c r="I4" s="6">
        <v>275220</v>
      </c>
      <c r="J4" s="17">
        <f>Table6[[#This Row],[DAILY TOTAL SALES]]*7</f>
        <v>1926540</v>
      </c>
      <c r="K4" s="2" t="s">
        <v>292</v>
      </c>
    </row>
    <row r="5" spans="1:11" x14ac:dyDescent="0.3">
      <c r="A5" s="16" t="s">
        <v>239</v>
      </c>
      <c r="B5" s="6" t="s">
        <v>80</v>
      </c>
      <c r="C5" s="6" t="s">
        <v>287</v>
      </c>
      <c r="D5" s="6" t="s">
        <v>232</v>
      </c>
      <c r="E5" s="6" t="s">
        <v>14</v>
      </c>
      <c r="F5" s="6" t="s">
        <v>67</v>
      </c>
      <c r="G5" s="6" t="s">
        <v>69</v>
      </c>
      <c r="H5" s="6">
        <v>5668</v>
      </c>
      <c r="I5" s="6">
        <v>340080</v>
      </c>
      <c r="J5" s="17">
        <f>Table6[[#This Row],[DAILY TOTAL SALES]]*7</f>
        <v>2380560</v>
      </c>
      <c r="K5" s="2" t="s">
        <v>292</v>
      </c>
    </row>
    <row r="6" spans="1:11" x14ac:dyDescent="0.3">
      <c r="A6" s="16" t="s">
        <v>240</v>
      </c>
      <c r="B6" s="6" t="s">
        <v>89</v>
      </c>
      <c r="C6" s="6" t="s">
        <v>287</v>
      </c>
      <c r="D6" s="6" t="s">
        <v>232</v>
      </c>
      <c r="E6" s="6" t="s">
        <v>14</v>
      </c>
      <c r="F6" s="6" t="s">
        <v>67</v>
      </c>
      <c r="G6" s="6" t="s">
        <v>69</v>
      </c>
      <c r="H6" s="6">
        <v>5221</v>
      </c>
      <c r="I6" s="6">
        <v>313260</v>
      </c>
      <c r="J6" s="17">
        <f>Table6[[#This Row],[DAILY TOTAL SALES]]*7</f>
        <v>2192820</v>
      </c>
      <c r="K6" s="2" t="s">
        <v>292</v>
      </c>
    </row>
    <row r="7" spans="1:11" x14ac:dyDescent="0.3">
      <c r="A7" s="16" t="s">
        <v>241</v>
      </c>
      <c r="B7" s="6" t="s">
        <v>82</v>
      </c>
      <c r="C7" s="6" t="s">
        <v>287</v>
      </c>
      <c r="D7" s="6" t="s">
        <v>232</v>
      </c>
      <c r="E7" s="6" t="s">
        <v>14</v>
      </c>
      <c r="F7" s="6" t="s">
        <v>67</v>
      </c>
      <c r="G7" s="6" t="s">
        <v>69</v>
      </c>
      <c r="H7" s="6">
        <v>4998</v>
      </c>
      <c r="I7" s="6">
        <v>299880</v>
      </c>
      <c r="J7" s="17">
        <f>Table6[[#This Row],[DAILY TOTAL SALES]]*7</f>
        <v>2099160</v>
      </c>
      <c r="K7" s="2" t="s">
        <v>292</v>
      </c>
    </row>
    <row r="8" spans="1:11" x14ac:dyDescent="0.3">
      <c r="A8" s="16" t="s">
        <v>242</v>
      </c>
      <c r="B8" s="6" t="s">
        <v>81</v>
      </c>
      <c r="C8" s="6" t="s">
        <v>287</v>
      </c>
      <c r="D8" s="6" t="s">
        <v>232</v>
      </c>
      <c r="E8" s="6" t="s">
        <v>14</v>
      </c>
      <c r="F8" s="6" t="s">
        <v>67</v>
      </c>
      <c r="G8" s="6" t="s">
        <v>69</v>
      </c>
      <c r="H8" s="6">
        <v>4665</v>
      </c>
      <c r="I8" s="6">
        <v>279900</v>
      </c>
      <c r="J8" s="17">
        <f>Table6[[#This Row],[DAILY TOTAL SALES]]*7</f>
        <v>1959300</v>
      </c>
      <c r="K8" s="2" t="s">
        <v>292</v>
      </c>
    </row>
    <row r="9" spans="1:11" x14ac:dyDescent="0.3">
      <c r="A9" s="16" t="s">
        <v>243</v>
      </c>
      <c r="B9" s="6" t="s">
        <v>103</v>
      </c>
      <c r="C9" s="6" t="s">
        <v>287</v>
      </c>
      <c r="D9" s="6" t="s">
        <v>233</v>
      </c>
      <c r="E9" s="6" t="s">
        <v>14</v>
      </c>
      <c r="F9" s="6" t="s">
        <v>67</v>
      </c>
      <c r="G9" s="6" t="s">
        <v>69</v>
      </c>
      <c r="H9" s="6">
        <v>3223</v>
      </c>
      <c r="I9" s="6">
        <v>193380</v>
      </c>
      <c r="J9" s="17">
        <f>Table6[[#This Row],[DAILY TOTAL SALES]]*7</f>
        <v>1353660</v>
      </c>
      <c r="K9" s="2" t="s">
        <v>292</v>
      </c>
    </row>
    <row r="10" spans="1:11" x14ac:dyDescent="0.3">
      <c r="A10" s="16" t="s">
        <v>244</v>
      </c>
      <c r="B10" s="6" t="s">
        <v>169</v>
      </c>
      <c r="C10" s="6" t="s">
        <v>287</v>
      </c>
      <c r="D10" s="6" t="s">
        <v>233</v>
      </c>
      <c r="E10" s="6" t="s">
        <v>14</v>
      </c>
      <c r="F10" s="6" t="s">
        <v>67</v>
      </c>
      <c r="G10" s="6" t="s">
        <v>69</v>
      </c>
      <c r="H10" s="6">
        <v>3333</v>
      </c>
      <c r="I10" s="6">
        <v>199980</v>
      </c>
      <c r="J10" s="17">
        <f>Table6[[#This Row],[DAILY TOTAL SALES]]*7</f>
        <v>1399860</v>
      </c>
      <c r="K10" s="2" t="s">
        <v>292</v>
      </c>
    </row>
    <row r="11" spans="1:11" x14ac:dyDescent="0.3">
      <c r="A11" s="16" t="s">
        <v>245</v>
      </c>
      <c r="B11" s="6" t="s">
        <v>285</v>
      </c>
      <c r="C11" s="6" t="s">
        <v>287</v>
      </c>
      <c r="D11" s="6" t="s">
        <v>233</v>
      </c>
      <c r="E11" s="6" t="s">
        <v>14</v>
      </c>
      <c r="F11" s="6" t="s">
        <v>62</v>
      </c>
      <c r="G11" s="6" t="s">
        <v>69</v>
      </c>
      <c r="H11" s="6">
        <v>2222</v>
      </c>
      <c r="I11" s="6">
        <v>133320</v>
      </c>
      <c r="J11" s="17">
        <f>Table6[[#This Row],[DAILY TOTAL SALES]]*7</f>
        <v>933240</v>
      </c>
      <c r="K11" s="2" t="s">
        <v>292</v>
      </c>
    </row>
    <row r="12" spans="1:11" x14ac:dyDescent="0.3">
      <c r="A12" s="16" t="s">
        <v>246</v>
      </c>
      <c r="B12" s="6" t="s">
        <v>80</v>
      </c>
      <c r="C12" s="6" t="s">
        <v>287</v>
      </c>
      <c r="D12" s="6" t="s">
        <v>233</v>
      </c>
      <c r="E12" s="6" t="s">
        <v>14</v>
      </c>
      <c r="F12" s="6" t="s">
        <v>67</v>
      </c>
      <c r="G12" s="6" t="s">
        <v>69</v>
      </c>
      <c r="H12" s="6">
        <v>1212</v>
      </c>
      <c r="I12" s="6">
        <v>72720</v>
      </c>
      <c r="J12" s="17">
        <f>Table6[[#This Row],[DAILY TOTAL SALES]]*7</f>
        <v>509040</v>
      </c>
      <c r="K12" s="2" t="s">
        <v>292</v>
      </c>
    </row>
    <row r="13" spans="1:11" x14ac:dyDescent="0.3">
      <c r="A13" s="16" t="s">
        <v>247</v>
      </c>
      <c r="B13" s="6" t="s">
        <v>82</v>
      </c>
      <c r="C13" s="6" t="s">
        <v>287</v>
      </c>
      <c r="D13" s="6" t="s">
        <v>233</v>
      </c>
      <c r="E13" s="6" t="s">
        <v>14</v>
      </c>
      <c r="F13" s="6" t="s">
        <v>11</v>
      </c>
      <c r="G13" s="6" t="s">
        <v>235</v>
      </c>
      <c r="H13" s="6">
        <v>1313</v>
      </c>
      <c r="I13" s="6">
        <v>78780</v>
      </c>
      <c r="J13" s="17">
        <f>Table6[[#This Row],[DAILY TOTAL SALES]]*7</f>
        <v>551460</v>
      </c>
      <c r="K13" s="2" t="s">
        <v>292</v>
      </c>
    </row>
    <row r="14" spans="1:11" x14ac:dyDescent="0.3">
      <c r="A14" s="16" t="s">
        <v>248</v>
      </c>
      <c r="B14" s="6" t="s">
        <v>81</v>
      </c>
      <c r="C14" s="6" t="s">
        <v>287</v>
      </c>
      <c r="D14" s="6" t="s">
        <v>233</v>
      </c>
      <c r="E14" s="6" t="s">
        <v>14</v>
      </c>
      <c r="F14" s="6" t="s">
        <v>67</v>
      </c>
      <c r="G14" s="6" t="s">
        <v>235</v>
      </c>
      <c r="H14" s="6">
        <v>1991</v>
      </c>
      <c r="I14" s="6">
        <v>119460</v>
      </c>
      <c r="J14" s="17">
        <f>Table6[[#This Row],[DAILY TOTAL SALES]]*7</f>
        <v>836220</v>
      </c>
      <c r="K14" s="2" t="s">
        <v>292</v>
      </c>
    </row>
    <row r="15" spans="1:11" x14ac:dyDescent="0.3">
      <c r="A15" s="16" t="s">
        <v>249</v>
      </c>
      <c r="B15" s="6" t="s">
        <v>103</v>
      </c>
      <c r="C15" s="6" t="s">
        <v>287</v>
      </c>
      <c r="D15" s="6" t="s">
        <v>233</v>
      </c>
      <c r="E15" s="6" t="s">
        <v>14</v>
      </c>
      <c r="F15" s="6" t="s">
        <v>288</v>
      </c>
      <c r="G15" s="6" t="s">
        <v>235</v>
      </c>
      <c r="H15" s="6">
        <v>6996</v>
      </c>
      <c r="I15" s="6">
        <v>419760</v>
      </c>
      <c r="J15" s="17">
        <f>Table6[[#This Row],[DAILY TOTAL SALES]]*7</f>
        <v>2938320</v>
      </c>
      <c r="K15" s="2" t="s">
        <v>292</v>
      </c>
    </row>
    <row r="16" spans="1:11" x14ac:dyDescent="0.3">
      <c r="A16" s="16" t="s">
        <v>250</v>
      </c>
      <c r="B16" s="6" t="s">
        <v>168</v>
      </c>
      <c r="C16" s="6" t="s">
        <v>287</v>
      </c>
      <c r="D16" s="6" t="s">
        <v>233</v>
      </c>
      <c r="E16" s="6" t="s">
        <v>14</v>
      </c>
      <c r="F16" s="6" t="s">
        <v>64</v>
      </c>
      <c r="G16" s="6" t="s">
        <v>235</v>
      </c>
      <c r="H16" s="6">
        <v>4996</v>
      </c>
      <c r="I16" s="6">
        <v>299760</v>
      </c>
      <c r="J16" s="17">
        <f>Table6[[#This Row],[DAILY TOTAL SALES]]*7</f>
        <v>2098320</v>
      </c>
      <c r="K16" s="2" t="s">
        <v>292</v>
      </c>
    </row>
    <row r="17" spans="1:11" x14ac:dyDescent="0.3">
      <c r="A17" s="16" t="s">
        <v>251</v>
      </c>
      <c r="B17" s="6" t="s">
        <v>286</v>
      </c>
      <c r="C17" s="6" t="s">
        <v>287</v>
      </c>
      <c r="D17" s="6" t="s">
        <v>233</v>
      </c>
      <c r="E17" s="6" t="s">
        <v>14</v>
      </c>
      <c r="F17" s="6" t="s">
        <v>288</v>
      </c>
      <c r="G17" s="6" t="s">
        <v>235</v>
      </c>
      <c r="H17" s="6">
        <v>5995</v>
      </c>
      <c r="I17" s="6">
        <v>359700</v>
      </c>
      <c r="J17" s="17">
        <f>Table6[[#This Row],[DAILY TOTAL SALES]]*7</f>
        <v>2517900</v>
      </c>
      <c r="K17" s="6" t="s">
        <v>293</v>
      </c>
    </row>
    <row r="18" spans="1:11" x14ac:dyDescent="0.3">
      <c r="A18" s="16" t="s">
        <v>252</v>
      </c>
      <c r="B18" s="6" t="s">
        <v>83</v>
      </c>
      <c r="C18" s="6" t="s">
        <v>287</v>
      </c>
      <c r="D18" s="6" t="s">
        <v>233</v>
      </c>
      <c r="E18" s="6" t="s">
        <v>14</v>
      </c>
      <c r="F18" s="6" t="s">
        <v>289</v>
      </c>
      <c r="G18" s="6" t="s">
        <v>235</v>
      </c>
      <c r="H18" s="6">
        <v>5642</v>
      </c>
      <c r="I18" s="6">
        <v>338520</v>
      </c>
      <c r="J18" s="17">
        <f>Table6[[#This Row],[DAILY TOTAL SALES]]*7</f>
        <v>2369640</v>
      </c>
      <c r="K18" s="6" t="s">
        <v>293</v>
      </c>
    </row>
    <row r="19" spans="1:11" x14ac:dyDescent="0.3">
      <c r="A19" s="16" t="s">
        <v>253</v>
      </c>
      <c r="B19" s="6" t="s">
        <v>106</v>
      </c>
      <c r="C19" s="6" t="s">
        <v>287</v>
      </c>
      <c r="D19" s="6" t="s">
        <v>233</v>
      </c>
      <c r="E19" s="6" t="s">
        <v>14</v>
      </c>
      <c r="F19" s="6" t="s">
        <v>288</v>
      </c>
      <c r="G19" s="6" t="s">
        <v>235</v>
      </c>
      <c r="H19" s="6">
        <v>2654</v>
      </c>
      <c r="I19" s="6">
        <v>159240</v>
      </c>
      <c r="J19" s="17">
        <f>Table6[[#This Row],[DAILY TOTAL SALES]]*7</f>
        <v>1114680</v>
      </c>
      <c r="K19" s="6" t="s">
        <v>293</v>
      </c>
    </row>
    <row r="20" spans="1:11" x14ac:dyDescent="0.3">
      <c r="A20" s="16" t="s">
        <v>254</v>
      </c>
      <c r="B20" s="6" t="s">
        <v>109</v>
      </c>
      <c r="C20" s="6" t="s">
        <v>287</v>
      </c>
      <c r="D20" s="6" t="s">
        <v>112</v>
      </c>
      <c r="E20" s="6" t="s">
        <v>14</v>
      </c>
      <c r="F20" s="6" t="s">
        <v>290</v>
      </c>
      <c r="G20" s="6" t="s">
        <v>235</v>
      </c>
      <c r="H20" s="6">
        <v>2885</v>
      </c>
      <c r="I20" s="6">
        <v>173100</v>
      </c>
      <c r="J20" s="17">
        <f>Table6[[#This Row],[DAILY TOTAL SALES]]*7</f>
        <v>1211700</v>
      </c>
      <c r="K20" s="6" t="s">
        <v>293</v>
      </c>
    </row>
    <row r="21" spans="1:11" x14ac:dyDescent="0.3">
      <c r="A21" s="16" t="s">
        <v>255</v>
      </c>
      <c r="B21" s="6" t="s">
        <v>85</v>
      </c>
      <c r="C21" s="6" t="s">
        <v>287</v>
      </c>
      <c r="D21" s="6" t="s">
        <v>112</v>
      </c>
      <c r="E21" s="6" t="s">
        <v>14</v>
      </c>
      <c r="F21" s="6" t="s">
        <v>288</v>
      </c>
      <c r="G21" s="6" t="s">
        <v>235</v>
      </c>
      <c r="H21" s="6">
        <v>2995</v>
      </c>
      <c r="I21" s="6">
        <v>179700</v>
      </c>
      <c r="J21" s="17">
        <f>Table6[[#This Row],[DAILY TOTAL SALES]]*7</f>
        <v>1257900</v>
      </c>
      <c r="K21" s="6" t="s">
        <v>293</v>
      </c>
    </row>
    <row r="22" spans="1:11" x14ac:dyDescent="0.3">
      <c r="A22" s="16" t="s">
        <v>256</v>
      </c>
      <c r="B22" s="6" t="s">
        <v>86</v>
      </c>
      <c r="C22" s="6" t="s">
        <v>287</v>
      </c>
      <c r="D22" s="6" t="s">
        <v>112</v>
      </c>
      <c r="E22" s="6" t="s">
        <v>111</v>
      </c>
      <c r="F22" s="6" t="s">
        <v>291</v>
      </c>
      <c r="G22" s="6" t="s">
        <v>235</v>
      </c>
      <c r="H22" s="6">
        <v>5687</v>
      </c>
      <c r="I22" s="6">
        <v>341220</v>
      </c>
      <c r="J22" s="17">
        <f>Table6[[#This Row],[DAILY TOTAL SALES]]*7</f>
        <v>2388540</v>
      </c>
      <c r="K22" s="6" t="s">
        <v>293</v>
      </c>
    </row>
    <row r="23" spans="1:11" x14ac:dyDescent="0.3">
      <c r="A23" s="16" t="s">
        <v>257</v>
      </c>
      <c r="B23" s="6" t="s">
        <v>168</v>
      </c>
      <c r="C23" s="6" t="s">
        <v>287</v>
      </c>
      <c r="D23" s="6" t="s">
        <v>112</v>
      </c>
      <c r="E23" s="6" t="s">
        <v>111</v>
      </c>
      <c r="F23" s="6" t="s">
        <v>288</v>
      </c>
      <c r="G23" s="6" t="s">
        <v>235</v>
      </c>
      <c r="H23" s="6">
        <v>4987</v>
      </c>
      <c r="I23" s="6">
        <v>299220</v>
      </c>
      <c r="J23" s="17">
        <f>Table6[[#This Row],[DAILY TOTAL SALES]]*7</f>
        <v>2094540</v>
      </c>
      <c r="K23" s="6" t="s">
        <v>293</v>
      </c>
    </row>
    <row r="24" spans="1:11" x14ac:dyDescent="0.3">
      <c r="A24" s="16" t="s">
        <v>258</v>
      </c>
      <c r="B24" s="6" t="s">
        <v>169</v>
      </c>
      <c r="C24" s="6" t="s">
        <v>287</v>
      </c>
      <c r="D24" s="6" t="s">
        <v>112</v>
      </c>
      <c r="E24" s="6" t="s">
        <v>111</v>
      </c>
      <c r="F24" s="6" t="s">
        <v>11</v>
      </c>
      <c r="G24" s="6" t="s">
        <v>235</v>
      </c>
      <c r="H24" s="6">
        <v>6857</v>
      </c>
      <c r="I24" s="6">
        <v>411420</v>
      </c>
      <c r="J24" s="17">
        <f>Table6[[#This Row],[DAILY TOTAL SALES]]*7</f>
        <v>2879940</v>
      </c>
      <c r="K24" s="6" t="s">
        <v>293</v>
      </c>
    </row>
    <row r="25" spans="1:11" x14ac:dyDescent="0.3">
      <c r="A25" s="16" t="s">
        <v>259</v>
      </c>
      <c r="B25" s="6" t="s">
        <v>82</v>
      </c>
      <c r="C25" s="6" t="s">
        <v>287</v>
      </c>
      <c r="D25" s="6" t="s">
        <v>112</v>
      </c>
      <c r="E25" s="6" t="s">
        <v>111</v>
      </c>
      <c r="F25" s="6" t="s">
        <v>11</v>
      </c>
      <c r="G25" s="6" t="s">
        <v>235</v>
      </c>
      <c r="H25" s="6">
        <v>5623</v>
      </c>
      <c r="I25" s="6">
        <v>337380</v>
      </c>
      <c r="J25" s="17">
        <f>Table6[[#This Row],[DAILY TOTAL SALES]]*7</f>
        <v>2361660</v>
      </c>
      <c r="K25" s="6" t="s">
        <v>293</v>
      </c>
    </row>
    <row r="26" spans="1:11" x14ac:dyDescent="0.3">
      <c r="A26" s="16" t="s">
        <v>260</v>
      </c>
      <c r="B26" s="6" t="s">
        <v>166</v>
      </c>
      <c r="C26" s="6" t="s">
        <v>287</v>
      </c>
      <c r="D26" s="6" t="s">
        <v>112</v>
      </c>
      <c r="E26" s="6" t="s">
        <v>111</v>
      </c>
      <c r="F26" s="6" t="s">
        <v>11</v>
      </c>
      <c r="G26" s="6" t="s">
        <v>235</v>
      </c>
      <c r="H26" s="6">
        <v>4655</v>
      </c>
      <c r="I26" s="6">
        <v>279300</v>
      </c>
      <c r="J26" s="17">
        <f>Table6[[#This Row],[DAILY TOTAL SALES]]*7</f>
        <v>1955100</v>
      </c>
      <c r="K26" s="6" t="s">
        <v>293</v>
      </c>
    </row>
    <row r="27" spans="1:11" x14ac:dyDescent="0.3">
      <c r="A27" s="16" t="s">
        <v>261</v>
      </c>
      <c r="B27" s="6" t="s">
        <v>109</v>
      </c>
      <c r="C27" s="6" t="s">
        <v>287</v>
      </c>
      <c r="D27" s="6" t="s">
        <v>112</v>
      </c>
      <c r="E27" s="6" t="s">
        <v>111</v>
      </c>
      <c r="F27" s="6" t="s">
        <v>11</v>
      </c>
      <c r="G27" s="6" t="s">
        <v>69</v>
      </c>
      <c r="H27" s="6">
        <v>5198</v>
      </c>
      <c r="I27" s="6">
        <v>311880</v>
      </c>
      <c r="J27" s="17">
        <f>Table6[[#This Row],[DAILY TOTAL SALES]]*7</f>
        <v>2183160</v>
      </c>
      <c r="K27" s="6" t="s">
        <v>293</v>
      </c>
    </row>
    <row r="28" spans="1:11" x14ac:dyDescent="0.3">
      <c r="A28" s="16" t="s">
        <v>262</v>
      </c>
      <c r="B28" s="6" t="s">
        <v>103</v>
      </c>
      <c r="C28" s="6" t="s">
        <v>287</v>
      </c>
      <c r="D28" s="6" t="s">
        <v>9</v>
      </c>
      <c r="E28" s="6" t="s">
        <v>111</v>
      </c>
      <c r="F28" s="6" t="s">
        <v>11</v>
      </c>
      <c r="G28" s="6" t="s">
        <v>69</v>
      </c>
      <c r="H28" s="6">
        <v>6541</v>
      </c>
      <c r="I28" s="6">
        <v>392460</v>
      </c>
      <c r="J28" s="17">
        <f>Table6[[#This Row],[DAILY TOTAL SALES]]*7</f>
        <v>2747220</v>
      </c>
      <c r="K28" s="6" t="s">
        <v>293</v>
      </c>
    </row>
    <row r="29" spans="1:11" x14ac:dyDescent="0.3">
      <c r="A29" s="16" t="s">
        <v>263</v>
      </c>
      <c r="B29" s="6" t="s">
        <v>104</v>
      </c>
      <c r="C29" s="6" t="s">
        <v>287</v>
      </c>
      <c r="D29" s="6" t="s">
        <v>9</v>
      </c>
      <c r="E29" s="6" t="s">
        <v>111</v>
      </c>
      <c r="F29" s="6" t="s">
        <v>11</v>
      </c>
      <c r="G29" s="6" t="s">
        <v>69</v>
      </c>
      <c r="H29" s="6">
        <v>3579</v>
      </c>
      <c r="I29" s="6">
        <v>214740</v>
      </c>
      <c r="J29" s="17">
        <f>Table6[[#This Row],[DAILY TOTAL SALES]]*7</f>
        <v>1503180</v>
      </c>
      <c r="K29" s="6" t="s">
        <v>293</v>
      </c>
    </row>
    <row r="30" spans="1:11" x14ac:dyDescent="0.3">
      <c r="A30" s="16" t="s">
        <v>264</v>
      </c>
      <c r="B30" s="6" t="s">
        <v>167</v>
      </c>
      <c r="C30" s="6" t="s">
        <v>287</v>
      </c>
      <c r="D30" s="6" t="s">
        <v>9</v>
      </c>
      <c r="E30" s="6" t="s">
        <v>111</v>
      </c>
      <c r="F30" s="6" t="s">
        <v>11</v>
      </c>
      <c r="G30" s="6" t="s">
        <v>69</v>
      </c>
      <c r="H30" s="6">
        <v>5479</v>
      </c>
      <c r="I30" s="6">
        <v>328740</v>
      </c>
      <c r="J30" s="17">
        <f>Table6[[#This Row],[DAILY TOTAL SALES]]*7</f>
        <v>2301180</v>
      </c>
      <c r="K30" s="6" t="s">
        <v>293</v>
      </c>
    </row>
    <row r="31" spans="1:11" x14ac:dyDescent="0.3">
      <c r="A31" s="16" t="s">
        <v>265</v>
      </c>
      <c r="B31" s="6" t="s">
        <v>168</v>
      </c>
      <c r="C31" s="6" t="s">
        <v>287</v>
      </c>
      <c r="D31" s="6" t="s">
        <v>9</v>
      </c>
      <c r="E31" s="6" t="s">
        <v>111</v>
      </c>
      <c r="F31" s="6" t="s">
        <v>62</v>
      </c>
      <c r="G31" s="6" t="s">
        <v>69</v>
      </c>
      <c r="H31" s="6">
        <v>2645</v>
      </c>
      <c r="I31" s="6">
        <v>158700</v>
      </c>
      <c r="J31" s="17">
        <f>Table6[[#This Row],[DAILY TOTAL SALES]]*7</f>
        <v>1110900</v>
      </c>
      <c r="K31" s="6" t="s">
        <v>294</v>
      </c>
    </row>
    <row r="32" spans="1:11" x14ac:dyDescent="0.3">
      <c r="A32" s="16" t="s">
        <v>266</v>
      </c>
      <c r="B32" s="6" t="s">
        <v>167</v>
      </c>
      <c r="C32" s="6" t="s">
        <v>287</v>
      </c>
      <c r="D32" s="6" t="s">
        <v>9</v>
      </c>
      <c r="E32" s="6" t="s">
        <v>111</v>
      </c>
      <c r="F32" s="6" t="s">
        <v>62</v>
      </c>
      <c r="G32" s="6" t="s">
        <v>69</v>
      </c>
      <c r="H32" s="6">
        <v>5985</v>
      </c>
      <c r="I32" s="6">
        <v>359100</v>
      </c>
      <c r="J32" s="17">
        <f>Table6[[#This Row],[DAILY TOTAL SALES]]*7</f>
        <v>2513700</v>
      </c>
      <c r="K32" s="6" t="s">
        <v>294</v>
      </c>
    </row>
    <row r="33" spans="1:11" x14ac:dyDescent="0.3">
      <c r="A33" s="16" t="s">
        <v>267</v>
      </c>
      <c r="B33" s="6" t="s">
        <v>80</v>
      </c>
      <c r="C33" s="6" t="s">
        <v>287</v>
      </c>
      <c r="D33" s="6" t="s">
        <v>9</v>
      </c>
      <c r="E33" s="6" t="s">
        <v>111</v>
      </c>
      <c r="F33" s="6" t="s">
        <v>62</v>
      </c>
      <c r="G33" s="6" t="s">
        <v>69</v>
      </c>
      <c r="H33" s="6">
        <v>4554</v>
      </c>
      <c r="I33" s="6">
        <v>273240</v>
      </c>
      <c r="J33" s="17">
        <f>Table6[[#This Row],[DAILY TOTAL SALES]]*7</f>
        <v>1912680</v>
      </c>
      <c r="K33" s="6" t="s">
        <v>294</v>
      </c>
    </row>
    <row r="34" spans="1:11" x14ac:dyDescent="0.3">
      <c r="A34" s="16" t="s">
        <v>268</v>
      </c>
      <c r="B34" s="6" t="s">
        <v>80</v>
      </c>
      <c r="C34" s="6" t="s">
        <v>287</v>
      </c>
      <c r="D34" s="6" t="s">
        <v>9</v>
      </c>
      <c r="E34" s="6" t="s">
        <v>111</v>
      </c>
      <c r="F34" s="6" t="s">
        <v>62</v>
      </c>
      <c r="G34" s="6" t="s">
        <v>69</v>
      </c>
      <c r="H34" s="6">
        <v>256</v>
      </c>
      <c r="I34" s="6">
        <v>15360</v>
      </c>
      <c r="J34" s="17">
        <f>Table6[[#This Row],[DAILY TOTAL SALES]]*7</f>
        <v>107520</v>
      </c>
      <c r="K34" s="6" t="s">
        <v>294</v>
      </c>
    </row>
    <row r="35" spans="1:11" x14ac:dyDescent="0.3">
      <c r="A35" s="16" t="s">
        <v>269</v>
      </c>
      <c r="B35" s="6" t="s">
        <v>169</v>
      </c>
      <c r="C35" s="6" t="s">
        <v>287</v>
      </c>
      <c r="D35" s="6" t="s">
        <v>9</v>
      </c>
      <c r="E35" s="6" t="s">
        <v>111</v>
      </c>
      <c r="F35" s="6" t="s">
        <v>62</v>
      </c>
      <c r="G35" s="6" t="s">
        <v>69</v>
      </c>
      <c r="H35" s="6">
        <v>11654</v>
      </c>
      <c r="I35" s="6">
        <v>699240</v>
      </c>
      <c r="J35" s="17">
        <f>Table6[[#This Row],[DAILY TOTAL SALES]]*7</f>
        <v>4894680</v>
      </c>
      <c r="K35" s="6" t="s">
        <v>294</v>
      </c>
    </row>
    <row r="36" spans="1:11" x14ac:dyDescent="0.3">
      <c r="A36" s="16" t="s">
        <v>270</v>
      </c>
      <c r="B36" s="6" t="s">
        <v>103</v>
      </c>
      <c r="C36" s="6" t="s">
        <v>287</v>
      </c>
      <c r="D36" s="6" t="s">
        <v>9</v>
      </c>
      <c r="E36" s="6" t="s">
        <v>111</v>
      </c>
      <c r="F36" s="6" t="s">
        <v>62</v>
      </c>
      <c r="G36" s="6" t="s">
        <v>69</v>
      </c>
      <c r="H36" s="6">
        <v>1990</v>
      </c>
      <c r="I36" s="6">
        <v>119400</v>
      </c>
      <c r="J36" s="17">
        <f>Table6[[#This Row],[DAILY TOTAL SALES]]*7</f>
        <v>835800</v>
      </c>
      <c r="K36" s="6" t="s">
        <v>294</v>
      </c>
    </row>
    <row r="37" spans="1:11" x14ac:dyDescent="0.3">
      <c r="A37" s="16" t="s">
        <v>271</v>
      </c>
      <c r="B37" s="6" t="s">
        <v>166</v>
      </c>
      <c r="C37" s="6" t="s">
        <v>287</v>
      </c>
      <c r="D37" s="6" t="s">
        <v>9</v>
      </c>
      <c r="E37" s="6" t="s">
        <v>18</v>
      </c>
      <c r="F37" s="6" t="s">
        <v>62</v>
      </c>
      <c r="G37" s="6" t="s">
        <v>69</v>
      </c>
      <c r="H37" s="6">
        <v>2500</v>
      </c>
      <c r="I37" s="6">
        <v>150000</v>
      </c>
      <c r="J37" s="17">
        <f>Table6[[#This Row],[DAILY TOTAL SALES]]*7</f>
        <v>1050000</v>
      </c>
      <c r="K37" s="6" t="s">
        <v>294</v>
      </c>
    </row>
    <row r="38" spans="1:11" x14ac:dyDescent="0.3">
      <c r="A38" s="16" t="s">
        <v>272</v>
      </c>
      <c r="B38" s="6" t="s">
        <v>170</v>
      </c>
      <c r="C38" s="6" t="s">
        <v>287</v>
      </c>
      <c r="D38" s="6" t="s">
        <v>9</v>
      </c>
      <c r="E38" s="6" t="s">
        <v>10</v>
      </c>
      <c r="F38" s="6" t="s">
        <v>62</v>
      </c>
      <c r="G38" s="6" t="s">
        <v>69</v>
      </c>
      <c r="H38" s="6">
        <v>4500</v>
      </c>
      <c r="I38" s="6">
        <v>270000</v>
      </c>
      <c r="J38" s="17">
        <f>Table6[[#This Row],[DAILY TOTAL SALES]]*7</f>
        <v>1890000</v>
      </c>
      <c r="K38" s="6" t="s">
        <v>294</v>
      </c>
    </row>
    <row r="39" spans="1:11" x14ac:dyDescent="0.3">
      <c r="A39" s="16" t="s">
        <v>273</v>
      </c>
      <c r="B39" s="6" t="s">
        <v>83</v>
      </c>
      <c r="C39" s="6" t="s">
        <v>287</v>
      </c>
      <c r="D39" s="6" t="s">
        <v>9</v>
      </c>
      <c r="E39" s="6" t="s">
        <v>18</v>
      </c>
      <c r="F39" s="6" t="s">
        <v>62</v>
      </c>
      <c r="G39" s="6" t="s">
        <v>69</v>
      </c>
      <c r="H39" s="6">
        <v>3500</v>
      </c>
      <c r="I39" s="6">
        <v>210000</v>
      </c>
      <c r="J39" s="17">
        <f>Table6[[#This Row],[DAILY TOTAL SALES]]*7</f>
        <v>1470000</v>
      </c>
      <c r="K39" s="6" t="s">
        <v>294</v>
      </c>
    </row>
    <row r="40" spans="1:11" x14ac:dyDescent="0.3">
      <c r="A40" s="16" t="s">
        <v>274</v>
      </c>
      <c r="B40" s="6" t="s">
        <v>171</v>
      </c>
      <c r="C40" s="6" t="s">
        <v>287</v>
      </c>
      <c r="D40" s="6" t="s">
        <v>9</v>
      </c>
      <c r="E40" s="6" t="s">
        <v>10</v>
      </c>
      <c r="F40" s="6" t="s">
        <v>62</v>
      </c>
      <c r="G40" s="6" t="s">
        <v>69</v>
      </c>
      <c r="H40" s="6">
        <v>5500</v>
      </c>
      <c r="I40" s="6">
        <v>330000</v>
      </c>
      <c r="J40" s="17">
        <f>Table6[[#This Row],[DAILY TOTAL SALES]]*7</f>
        <v>2310000</v>
      </c>
      <c r="K40" s="6" t="s">
        <v>294</v>
      </c>
    </row>
    <row r="41" spans="1:11" x14ac:dyDescent="0.3">
      <c r="A41" s="16" t="s">
        <v>275</v>
      </c>
      <c r="B41" s="6" t="s">
        <v>168</v>
      </c>
      <c r="C41" s="6" t="s">
        <v>287</v>
      </c>
      <c r="D41" s="6" t="s">
        <v>9</v>
      </c>
      <c r="E41" s="6" t="s">
        <v>18</v>
      </c>
      <c r="F41" s="6" t="s">
        <v>62</v>
      </c>
      <c r="G41" s="6" t="s">
        <v>235</v>
      </c>
      <c r="H41" s="6">
        <v>5555</v>
      </c>
      <c r="I41" s="6">
        <v>333300</v>
      </c>
      <c r="J41" s="17">
        <f>Table6[[#This Row],[DAILY TOTAL SALES]]*7</f>
        <v>2333100</v>
      </c>
      <c r="K41" s="6" t="s">
        <v>294</v>
      </c>
    </row>
    <row r="42" spans="1:11" x14ac:dyDescent="0.3">
      <c r="A42" s="16" t="s">
        <v>276</v>
      </c>
      <c r="B42" s="6" t="s">
        <v>81</v>
      </c>
      <c r="C42" s="6" t="s">
        <v>287</v>
      </c>
      <c r="D42" s="6" t="s">
        <v>9</v>
      </c>
      <c r="E42" s="6" t="s">
        <v>10</v>
      </c>
      <c r="F42" s="6" t="s">
        <v>62</v>
      </c>
      <c r="G42" s="6" t="s">
        <v>235</v>
      </c>
      <c r="H42" s="6">
        <v>6000</v>
      </c>
      <c r="I42" s="6">
        <v>360000</v>
      </c>
      <c r="J42" s="17">
        <f>Table6[[#This Row],[DAILY TOTAL SALES]]*7</f>
        <v>2520000</v>
      </c>
      <c r="K42" s="6" t="s">
        <v>294</v>
      </c>
    </row>
    <row r="43" spans="1:11" x14ac:dyDescent="0.3">
      <c r="A43" s="16" t="s">
        <v>277</v>
      </c>
      <c r="B43" s="6" t="s">
        <v>80</v>
      </c>
      <c r="C43" s="6" t="s">
        <v>287</v>
      </c>
      <c r="D43" s="6" t="s">
        <v>9</v>
      </c>
      <c r="E43" s="6" t="s">
        <v>18</v>
      </c>
      <c r="F43" s="6" t="s">
        <v>67</v>
      </c>
      <c r="G43" s="6" t="s">
        <v>235</v>
      </c>
      <c r="H43" s="6">
        <v>4120</v>
      </c>
      <c r="I43" s="6">
        <v>247200</v>
      </c>
      <c r="J43" s="17">
        <f>Table6[[#This Row],[DAILY TOTAL SALES]]*7</f>
        <v>1730400</v>
      </c>
      <c r="K43" s="6" t="s">
        <v>294</v>
      </c>
    </row>
    <row r="44" spans="1:11" x14ac:dyDescent="0.3">
      <c r="A44" s="16" t="s">
        <v>278</v>
      </c>
      <c r="B44" s="6" t="s">
        <v>103</v>
      </c>
      <c r="C44" s="6" t="s">
        <v>287</v>
      </c>
      <c r="D44" s="6" t="s">
        <v>9</v>
      </c>
      <c r="E44" s="6" t="s">
        <v>10</v>
      </c>
      <c r="F44" s="6" t="s">
        <v>67</v>
      </c>
      <c r="G44" s="6" t="s">
        <v>235</v>
      </c>
      <c r="H44" s="6">
        <v>4190</v>
      </c>
      <c r="I44" s="6">
        <v>251400</v>
      </c>
      <c r="J44" s="17">
        <f>Table6[[#This Row],[DAILY TOTAL SALES]]*7</f>
        <v>1759800</v>
      </c>
      <c r="K44" s="6" t="s">
        <v>294</v>
      </c>
    </row>
    <row r="45" spans="1:11" x14ac:dyDescent="0.3">
      <c r="A45" s="16" t="s">
        <v>279</v>
      </c>
      <c r="B45" s="6" t="s">
        <v>103</v>
      </c>
      <c r="C45" s="6" t="s">
        <v>287</v>
      </c>
      <c r="D45" s="6" t="s">
        <v>15</v>
      </c>
      <c r="E45" s="6" t="s">
        <v>18</v>
      </c>
      <c r="F45" s="6" t="s">
        <v>67</v>
      </c>
      <c r="G45" s="6" t="s">
        <v>235</v>
      </c>
      <c r="H45" s="6">
        <v>5650</v>
      </c>
      <c r="I45" s="6">
        <v>339000</v>
      </c>
      <c r="J45" s="17">
        <f>Table6[[#This Row],[DAILY TOTAL SALES]]*7</f>
        <v>2373000</v>
      </c>
      <c r="K45" s="6" t="s">
        <v>294</v>
      </c>
    </row>
    <row r="46" spans="1:11" x14ac:dyDescent="0.3">
      <c r="A46" s="16" t="s">
        <v>280</v>
      </c>
      <c r="B46" s="6" t="s">
        <v>82</v>
      </c>
      <c r="C46" s="6" t="s">
        <v>287</v>
      </c>
      <c r="D46" s="6" t="s">
        <v>15</v>
      </c>
      <c r="E46" s="6" t="s">
        <v>10</v>
      </c>
      <c r="F46" s="6" t="s">
        <v>67</v>
      </c>
      <c r="G46" s="6" t="s">
        <v>235</v>
      </c>
      <c r="H46" s="6">
        <v>4800</v>
      </c>
      <c r="I46" s="6">
        <v>288000</v>
      </c>
      <c r="J46" s="17">
        <f>Table6[[#This Row],[DAILY TOTAL SALES]]*7</f>
        <v>2016000</v>
      </c>
      <c r="K46" s="6" t="s">
        <v>294</v>
      </c>
    </row>
    <row r="47" spans="1:11" x14ac:dyDescent="0.3">
      <c r="A47" s="16" t="s">
        <v>281</v>
      </c>
      <c r="B47" s="6" t="s">
        <v>168</v>
      </c>
      <c r="C47" s="6" t="s">
        <v>287</v>
      </c>
      <c r="D47" s="6" t="s">
        <v>15</v>
      </c>
      <c r="E47" s="6" t="s">
        <v>18</v>
      </c>
      <c r="F47" s="6" t="s">
        <v>67</v>
      </c>
      <c r="G47" s="6" t="s">
        <v>235</v>
      </c>
      <c r="H47" s="6">
        <v>4950</v>
      </c>
      <c r="I47" s="6">
        <v>297000</v>
      </c>
      <c r="J47" s="17">
        <f>Table6[[#This Row],[DAILY TOTAL SALES]]*7</f>
        <v>2079000</v>
      </c>
      <c r="K47" s="6" t="s">
        <v>294</v>
      </c>
    </row>
    <row r="48" spans="1:11" x14ac:dyDescent="0.3">
      <c r="A48" s="16" t="s">
        <v>282</v>
      </c>
      <c r="B48" s="6" t="s">
        <v>85</v>
      </c>
      <c r="C48" s="6" t="s">
        <v>287</v>
      </c>
      <c r="D48" s="6" t="s">
        <v>15</v>
      </c>
      <c r="E48" s="6" t="s">
        <v>10</v>
      </c>
      <c r="F48" s="6" t="s">
        <v>67</v>
      </c>
      <c r="G48" s="6" t="s">
        <v>235</v>
      </c>
      <c r="H48" s="6">
        <v>4100</v>
      </c>
      <c r="I48" s="6">
        <v>246000</v>
      </c>
      <c r="J48" s="17">
        <f>Table6[[#This Row],[DAILY TOTAL SALES]]*7</f>
        <v>1722000</v>
      </c>
      <c r="K48" s="6" t="s">
        <v>292</v>
      </c>
    </row>
    <row r="49" spans="1:11" x14ac:dyDescent="0.3">
      <c r="A49" s="16" t="s">
        <v>283</v>
      </c>
      <c r="B49" s="6" t="s">
        <v>166</v>
      </c>
      <c r="C49" s="6" t="s">
        <v>287</v>
      </c>
      <c r="D49" s="6" t="s">
        <v>15</v>
      </c>
      <c r="E49" s="6" t="s">
        <v>10</v>
      </c>
      <c r="F49" s="6" t="s">
        <v>67</v>
      </c>
      <c r="G49" s="6" t="s">
        <v>235</v>
      </c>
      <c r="H49" s="6">
        <v>5522</v>
      </c>
      <c r="I49" s="6">
        <v>331320</v>
      </c>
      <c r="J49" s="17">
        <f>Table6[[#This Row],[DAILY TOTAL SALES]]*7</f>
        <v>2319240</v>
      </c>
      <c r="K49" s="6" t="s">
        <v>292</v>
      </c>
    </row>
    <row r="50" spans="1:11" x14ac:dyDescent="0.3">
      <c r="A50" s="16" t="s">
        <v>284</v>
      </c>
      <c r="B50" s="6" t="s">
        <v>82</v>
      </c>
      <c r="C50" s="6" t="s">
        <v>287</v>
      </c>
      <c r="D50" s="6" t="s">
        <v>15</v>
      </c>
      <c r="E50" s="6" t="s">
        <v>10</v>
      </c>
      <c r="F50" s="6" t="s">
        <v>67</v>
      </c>
      <c r="G50" s="6" t="s">
        <v>235</v>
      </c>
      <c r="H50" s="6">
        <v>3656</v>
      </c>
      <c r="I50" s="6">
        <v>219360</v>
      </c>
      <c r="J50" s="17">
        <f>Table6[[#This Row],[DAILY TOTAL SALES]]*7</f>
        <v>1535520</v>
      </c>
      <c r="K50" s="6" t="s">
        <v>292</v>
      </c>
    </row>
    <row r="51" spans="1:11" x14ac:dyDescent="0.3">
      <c r="A51" s="15" t="s">
        <v>272</v>
      </c>
      <c r="B51" s="11" t="s">
        <v>103</v>
      </c>
      <c r="C51" s="11" t="s">
        <v>287</v>
      </c>
      <c r="D51" s="11" t="s">
        <v>15</v>
      </c>
      <c r="E51" s="11" t="s">
        <v>10</v>
      </c>
      <c r="F51" s="11" t="s">
        <v>67</v>
      </c>
      <c r="G51" s="11" t="s">
        <v>235</v>
      </c>
      <c r="H51" s="11">
        <v>3345</v>
      </c>
      <c r="I51" s="11">
        <v>200700</v>
      </c>
      <c r="J51" s="14">
        <f>Table6[[#This Row],[DAILY TOTAL SALES]]*7</f>
        <v>1404900</v>
      </c>
      <c r="K51" s="6" t="s">
        <v>292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19D1C-282C-4BDA-A251-B5389531E701}">
  <dimension ref="A1:K246"/>
  <sheetViews>
    <sheetView tabSelected="1" topLeftCell="B1" zoomScale="70" zoomScaleNormal="70" workbookViewId="0">
      <selection activeCell="F135" sqref="F135"/>
    </sheetView>
  </sheetViews>
  <sheetFormatPr defaultRowHeight="14.4" x14ac:dyDescent="0.3"/>
  <cols>
    <col min="1" max="1" width="30" customWidth="1"/>
    <col min="2" max="2" width="21.21875" customWidth="1"/>
    <col min="3" max="3" width="20.77734375" customWidth="1"/>
    <col min="4" max="4" width="39.21875" customWidth="1"/>
    <col min="5" max="5" width="38.77734375" customWidth="1"/>
    <col min="6" max="6" width="31" customWidth="1"/>
    <col min="7" max="7" width="33.44140625" customWidth="1"/>
    <col min="8" max="8" width="21.109375" customWidth="1"/>
    <col min="9" max="9" width="22.33203125" customWidth="1"/>
    <col min="10" max="10" width="21.5546875" customWidth="1"/>
    <col min="11" max="11" width="17.88671875" customWidth="1"/>
  </cols>
  <sheetData>
    <row r="1" spans="1:11" x14ac:dyDescent="0.3">
      <c r="A1" s="32" t="s">
        <v>0</v>
      </c>
      <c r="B1" s="38" t="s">
        <v>1</v>
      </c>
      <c r="C1" s="39" t="s">
        <v>2</v>
      </c>
      <c r="D1" s="38" t="s">
        <v>5</v>
      </c>
      <c r="E1" s="50" t="s">
        <v>306</v>
      </c>
      <c r="F1" s="50" t="s">
        <v>3</v>
      </c>
      <c r="G1" s="50" t="s">
        <v>4</v>
      </c>
      <c r="H1" s="50" t="s">
        <v>6</v>
      </c>
      <c r="I1" s="50" t="s">
        <v>7</v>
      </c>
      <c r="J1" s="39" t="s">
        <v>304</v>
      </c>
      <c r="K1" s="39" t="s">
        <v>301</v>
      </c>
    </row>
    <row r="2" spans="1:11" x14ac:dyDescent="0.3">
      <c r="A2" s="33" t="s">
        <v>19</v>
      </c>
      <c r="B2" s="4" t="s">
        <v>109</v>
      </c>
      <c r="C2" s="17" t="s">
        <v>8</v>
      </c>
      <c r="D2" s="43" t="s">
        <v>9</v>
      </c>
      <c r="E2" s="35" t="s">
        <v>10</v>
      </c>
      <c r="F2" s="35" t="s">
        <v>11</v>
      </c>
      <c r="G2" s="35" t="s">
        <v>12</v>
      </c>
      <c r="H2" s="35">
        <v>262</v>
      </c>
      <c r="I2" s="36">
        <v>14400</v>
      </c>
      <c r="J2" s="37">
        <f>I2*7</f>
        <v>100800</v>
      </c>
      <c r="K2" s="45" t="s">
        <v>299</v>
      </c>
    </row>
    <row r="3" spans="1:11" x14ac:dyDescent="0.3">
      <c r="A3" s="5" t="s">
        <v>20</v>
      </c>
      <c r="B3" s="4" t="s">
        <v>109</v>
      </c>
      <c r="C3" s="17" t="s">
        <v>8</v>
      </c>
      <c r="D3" s="16" t="s">
        <v>9</v>
      </c>
      <c r="E3" s="6" t="s">
        <v>14</v>
      </c>
      <c r="F3" s="6" t="s">
        <v>62</v>
      </c>
      <c r="G3" s="6" t="s">
        <v>12</v>
      </c>
      <c r="H3" s="6">
        <v>350</v>
      </c>
      <c r="I3" s="7">
        <v>28545</v>
      </c>
      <c r="J3" s="37">
        <f t="shared" ref="J3:J66" si="0">I3*7</f>
        <v>199815</v>
      </c>
      <c r="K3" s="46" t="s">
        <v>299</v>
      </c>
    </row>
    <row r="4" spans="1:11" x14ac:dyDescent="0.3">
      <c r="A4" s="33" t="s">
        <v>13</v>
      </c>
      <c r="B4" s="4" t="s">
        <v>109</v>
      </c>
      <c r="C4" s="17" t="s">
        <v>8</v>
      </c>
      <c r="D4" s="43" t="s">
        <v>15</v>
      </c>
      <c r="E4" s="35" t="s">
        <v>10</v>
      </c>
      <c r="F4" s="35" t="s">
        <v>63</v>
      </c>
      <c r="G4" s="35" t="s">
        <v>12</v>
      </c>
      <c r="H4" s="35">
        <v>222</v>
      </c>
      <c r="I4" s="36">
        <v>11457</v>
      </c>
      <c r="J4" s="37">
        <f t="shared" si="0"/>
        <v>80199</v>
      </c>
      <c r="K4" s="45" t="s">
        <v>299</v>
      </c>
    </row>
    <row r="5" spans="1:11" x14ac:dyDescent="0.3">
      <c r="A5" s="5" t="s">
        <v>21</v>
      </c>
      <c r="B5" s="4" t="s">
        <v>86</v>
      </c>
      <c r="C5" s="17" t="s">
        <v>8</v>
      </c>
      <c r="D5" s="16" t="s">
        <v>9</v>
      </c>
      <c r="E5" s="6" t="s">
        <v>10</v>
      </c>
      <c r="F5" s="6" t="s">
        <v>64</v>
      </c>
      <c r="G5" s="6" t="s">
        <v>12</v>
      </c>
      <c r="H5" s="6">
        <v>165</v>
      </c>
      <c r="I5" s="7">
        <v>7452</v>
      </c>
      <c r="J5" s="37">
        <f t="shared" si="0"/>
        <v>52164</v>
      </c>
      <c r="K5" s="46" t="s">
        <v>299</v>
      </c>
    </row>
    <row r="6" spans="1:11" x14ac:dyDescent="0.3">
      <c r="A6" s="33" t="s">
        <v>22</v>
      </c>
      <c r="B6" s="4" t="s">
        <v>109</v>
      </c>
      <c r="C6" s="17" t="s">
        <v>8</v>
      </c>
      <c r="D6" s="43" t="s">
        <v>9</v>
      </c>
      <c r="E6" s="35" t="s">
        <v>10</v>
      </c>
      <c r="F6" s="35" t="s">
        <v>65</v>
      </c>
      <c r="G6" s="35" t="s">
        <v>12</v>
      </c>
      <c r="H6" s="35">
        <v>99</v>
      </c>
      <c r="I6" s="36">
        <v>4856</v>
      </c>
      <c r="J6" s="37">
        <f t="shared" si="0"/>
        <v>33992</v>
      </c>
      <c r="K6" s="45" t="s">
        <v>299</v>
      </c>
    </row>
    <row r="7" spans="1:11" x14ac:dyDescent="0.3">
      <c r="A7" s="5" t="s">
        <v>23</v>
      </c>
      <c r="B7" s="4" t="s">
        <v>81</v>
      </c>
      <c r="C7" s="17" t="s">
        <v>8</v>
      </c>
      <c r="D7" s="16" t="s">
        <v>9</v>
      </c>
      <c r="E7" s="6" t="s">
        <v>16</v>
      </c>
      <c r="F7" s="6" t="s">
        <v>66</v>
      </c>
      <c r="G7" s="6" t="s">
        <v>12</v>
      </c>
      <c r="H7" s="6">
        <v>56</v>
      </c>
      <c r="I7" s="7">
        <v>4500</v>
      </c>
      <c r="J7" s="37">
        <f t="shared" si="0"/>
        <v>31500</v>
      </c>
      <c r="K7" s="46" t="s">
        <v>299</v>
      </c>
    </row>
    <row r="8" spans="1:11" x14ac:dyDescent="0.3">
      <c r="A8" s="33" t="s">
        <v>24</v>
      </c>
      <c r="B8" s="4" t="s">
        <v>109</v>
      </c>
      <c r="C8" s="17" t="s">
        <v>8</v>
      </c>
      <c r="D8" s="43" t="s">
        <v>9</v>
      </c>
      <c r="E8" s="35" t="s">
        <v>10</v>
      </c>
      <c r="F8" s="35" t="s">
        <v>66</v>
      </c>
      <c r="G8" s="35" t="s">
        <v>69</v>
      </c>
      <c r="H8" s="35">
        <v>48</v>
      </c>
      <c r="I8" s="36">
        <v>4156</v>
      </c>
      <c r="J8" s="37">
        <f t="shared" si="0"/>
        <v>29092</v>
      </c>
      <c r="K8" s="45" t="s">
        <v>299</v>
      </c>
    </row>
    <row r="9" spans="1:11" x14ac:dyDescent="0.3">
      <c r="A9" s="5" t="s">
        <v>25</v>
      </c>
      <c r="B9" s="4" t="s">
        <v>81</v>
      </c>
      <c r="C9" s="17" t="s">
        <v>8</v>
      </c>
      <c r="D9" s="16" t="s">
        <v>9</v>
      </c>
      <c r="E9" s="6" t="s">
        <v>10</v>
      </c>
      <c r="F9" s="6" t="s">
        <v>62</v>
      </c>
      <c r="G9" s="6" t="s">
        <v>69</v>
      </c>
      <c r="H9" s="6">
        <v>88</v>
      </c>
      <c r="I9" s="7">
        <v>5547</v>
      </c>
      <c r="J9" s="37">
        <f t="shared" si="0"/>
        <v>38829</v>
      </c>
      <c r="K9" s="46" t="s">
        <v>299</v>
      </c>
    </row>
    <row r="10" spans="1:11" x14ac:dyDescent="0.3">
      <c r="A10" s="33" t="s">
        <v>26</v>
      </c>
      <c r="B10" s="4" t="s">
        <v>83</v>
      </c>
      <c r="C10" s="17" t="s">
        <v>8</v>
      </c>
      <c r="D10" s="43" t="s">
        <v>9</v>
      </c>
      <c r="E10" s="35" t="s">
        <v>14</v>
      </c>
      <c r="F10" s="35" t="s">
        <v>64</v>
      </c>
      <c r="G10" s="35" t="s">
        <v>69</v>
      </c>
      <c r="H10" s="35">
        <v>46</v>
      </c>
      <c r="I10" s="36">
        <v>3987</v>
      </c>
      <c r="J10" s="37">
        <f t="shared" si="0"/>
        <v>27909</v>
      </c>
      <c r="K10" s="45" t="s">
        <v>299</v>
      </c>
    </row>
    <row r="11" spans="1:11" x14ac:dyDescent="0.3">
      <c r="A11" s="5" t="s">
        <v>27</v>
      </c>
      <c r="B11" s="4" t="s">
        <v>80</v>
      </c>
      <c r="C11" s="17" t="s">
        <v>8</v>
      </c>
      <c r="D11" s="16" t="s">
        <v>9</v>
      </c>
      <c r="E11" s="6" t="s">
        <v>14</v>
      </c>
      <c r="F11" s="6" t="s">
        <v>64</v>
      </c>
      <c r="G11" s="6" t="s">
        <v>69</v>
      </c>
      <c r="H11" s="6">
        <v>145</v>
      </c>
      <c r="I11" s="7">
        <v>6547</v>
      </c>
      <c r="J11" s="37">
        <f t="shared" si="0"/>
        <v>45829</v>
      </c>
      <c r="K11" s="46" t="s">
        <v>299</v>
      </c>
    </row>
    <row r="12" spans="1:11" x14ac:dyDescent="0.3">
      <c r="A12" s="33" t="s">
        <v>28</v>
      </c>
      <c r="B12" s="4" t="s">
        <v>82</v>
      </c>
      <c r="C12" s="17" t="s">
        <v>8</v>
      </c>
      <c r="D12" s="43" t="s">
        <v>9</v>
      </c>
      <c r="E12" s="35" t="s">
        <v>10</v>
      </c>
      <c r="F12" s="35" t="s">
        <v>67</v>
      </c>
      <c r="G12" s="35" t="s">
        <v>69</v>
      </c>
      <c r="H12" s="35">
        <v>255</v>
      </c>
      <c r="I12" s="36">
        <v>12475</v>
      </c>
      <c r="J12" s="37">
        <f t="shared" si="0"/>
        <v>87325</v>
      </c>
      <c r="K12" s="45" t="s">
        <v>299</v>
      </c>
    </row>
    <row r="13" spans="1:11" x14ac:dyDescent="0.3">
      <c r="A13" s="5" t="s">
        <v>29</v>
      </c>
      <c r="B13" s="4" t="s">
        <v>307</v>
      </c>
      <c r="C13" s="17" t="s">
        <v>8</v>
      </c>
      <c r="D13" s="16" t="s">
        <v>233</v>
      </c>
      <c r="E13" s="6" t="s">
        <v>10</v>
      </c>
      <c r="F13" s="6" t="s">
        <v>62</v>
      </c>
      <c r="G13" s="6" t="s">
        <v>69</v>
      </c>
      <c r="H13" s="6">
        <v>212</v>
      </c>
      <c r="I13" s="7">
        <v>10778</v>
      </c>
      <c r="J13" s="37">
        <f t="shared" si="0"/>
        <v>75446</v>
      </c>
      <c r="K13" s="46" t="s">
        <v>299</v>
      </c>
    </row>
    <row r="14" spans="1:11" x14ac:dyDescent="0.3">
      <c r="A14" s="33" t="s">
        <v>30</v>
      </c>
      <c r="B14" s="4" t="s">
        <v>109</v>
      </c>
      <c r="C14" s="17" t="s">
        <v>8</v>
      </c>
      <c r="D14" s="43" t="s">
        <v>233</v>
      </c>
      <c r="E14" s="35" t="s">
        <v>14</v>
      </c>
      <c r="F14" s="35" t="s">
        <v>62</v>
      </c>
      <c r="G14" s="35" t="s">
        <v>12</v>
      </c>
      <c r="H14" s="35">
        <v>202</v>
      </c>
      <c r="I14" s="36">
        <v>10899</v>
      </c>
      <c r="J14" s="37">
        <f t="shared" si="0"/>
        <v>76293</v>
      </c>
      <c r="K14" s="45" t="s">
        <v>299</v>
      </c>
    </row>
    <row r="15" spans="1:11" x14ac:dyDescent="0.3">
      <c r="A15" s="5" t="s">
        <v>31</v>
      </c>
      <c r="B15" s="4" t="s">
        <v>85</v>
      </c>
      <c r="C15" s="17" t="s">
        <v>8</v>
      </c>
      <c r="D15" s="16" t="s">
        <v>233</v>
      </c>
      <c r="E15" s="6" t="s">
        <v>10</v>
      </c>
      <c r="F15" s="6" t="s">
        <v>62</v>
      </c>
      <c r="G15" s="6" t="s">
        <v>12</v>
      </c>
      <c r="H15" s="6">
        <v>155</v>
      </c>
      <c r="I15" s="7">
        <v>9500</v>
      </c>
      <c r="J15" s="37">
        <f t="shared" si="0"/>
        <v>66500</v>
      </c>
      <c r="K15" s="46" t="s">
        <v>299</v>
      </c>
    </row>
    <row r="16" spans="1:11" x14ac:dyDescent="0.3">
      <c r="A16" s="33" t="s">
        <v>32</v>
      </c>
      <c r="B16" s="4" t="s">
        <v>81</v>
      </c>
      <c r="C16" s="17" t="s">
        <v>8</v>
      </c>
      <c r="D16" s="43" t="s">
        <v>233</v>
      </c>
      <c r="E16" s="35" t="s">
        <v>14</v>
      </c>
      <c r="F16" s="35" t="s">
        <v>67</v>
      </c>
      <c r="G16" s="35" t="s">
        <v>12</v>
      </c>
      <c r="H16" s="35">
        <v>111</v>
      </c>
      <c r="I16" s="36">
        <v>6545</v>
      </c>
      <c r="J16" s="37">
        <f t="shared" si="0"/>
        <v>45815</v>
      </c>
      <c r="K16" s="45" t="s">
        <v>299</v>
      </c>
    </row>
    <row r="17" spans="1:11" x14ac:dyDescent="0.3">
      <c r="A17" s="5" t="s">
        <v>33</v>
      </c>
      <c r="B17" s="4" t="s">
        <v>80</v>
      </c>
      <c r="C17" s="17" t="s">
        <v>8</v>
      </c>
      <c r="D17" s="16" t="s">
        <v>233</v>
      </c>
      <c r="E17" s="6" t="s">
        <v>10</v>
      </c>
      <c r="F17" s="6" t="s">
        <v>67</v>
      </c>
      <c r="G17" s="6" t="s">
        <v>12</v>
      </c>
      <c r="H17" s="6">
        <v>199</v>
      </c>
      <c r="I17" s="7">
        <v>9963</v>
      </c>
      <c r="J17" s="37">
        <f t="shared" si="0"/>
        <v>69741</v>
      </c>
      <c r="K17" s="46" t="s">
        <v>299</v>
      </c>
    </row>
    <row r="18" spans="1:11" x14ac:dyDescent="0.3">
      <c r="A18" s="33" t="s">
        <v>34</v>
      </c>
      <c r="B18" s="4" t="s">
        <v>168</v>
      </c>
      <c r="C18" s="17" t="s">
        <v>8</v>
      </c>
      <c r="D18" s="43" t="s">
        <v>233</v>
      </c>
      <c r="E18" s="35" t="s">
        <v>10</v>
      </c>
      <c r="F18" s="35" t="s">
        <v>67</v>
      </c>
      <c r="G18" s="35" t="s">
        <v>12</v>
      </c>
      <c r="H18" s="35">
        <v>55</v>
      </c>
      <c r="I18" s="36">
        <v>4656</v>
      </c>
      <c r="J18" s="37">
        <f t="shared" si="0"/>
        <v>32592</v>
      </c>
      <c r="K18" s="45" t="s">
        <v>299</v>
      </c>
    </row>
    <row r="19" spans="1:11" x14ac:dyDescent="0.3">
      <c r="A19" s="5" t="s">
        <v>35</v>
      </c>
      <c r="B19" s="4" t="s">
        <v>168</v>
      </c>
      <c r="C19" s="17" t="s">
        <v>8</v>
      </c>
      <c r="D19" s="16" t="s">
        <v>233</v>
      </c>
      <c r="E19" s="6" t="s">
        <v>14</v>
      </c>
      <c r="F19" s="6" t="s">
        <v>62</v>
      </c>
      <c r="G19" s="6" t="s">
        <v>12</v>
      </c>
      <c r="H19" s="6">
        <v>45</v>
      </c>
      <c r="I19" s="7">
        <v>3758</v>
      </c>
      <c r="J19" s="37">
        <f t="shared" si="0"/>
        <v>26306</v>
      </c>
      <c r="K19" s="46" t="s">
        <v>299</v>
      </c>
    </row>
    <row r="20" spans="1:11" x14ac:dyDescent="0.3">
      <c r="A20" s="33" t="s">
        <v>36</v>
      </c>
      <c r="B20" s="4" t="s">
        <v>108</v>
      </c>
      <c r="C20" s="17" t="s">
        <v>8</v>
      </c>
      <c r="D20" s="43" t="s">
        <v>233</v>
      </c>
      <c r="E20" s="35" t="s">
        <v>14</v>
      </c>
      <c r="F20" s="35" t="s">
        <v>64</v>
      </c>
      <c r="G20" s="35" t="s">
        <v>12</v>
      </c>
      <c r="H20" s="35">
        <v>96</v>
      </c>
      <c r="I20" s="36">
        <v>5587</v>
      </c>
      <c r="J20" s="37">
        <f t="shared" si="0"/>
        <v>39109</v>
      </c>
      <c r="K20" s="40" t="s">
        <v>298</v>
      </c>
    </row>
    <row r="21" spans="1:11" x14ac:dyDescent="0.3">
      <c r="A21" s="5" t="s">
        <v>35</v>
      </c>
      <c r="B21" s="4" t="s">
        <v>308</v>
      </c>
      <c r="C21" s="17" t="s">
        <v>8</v>
      </c>
      <c r="D21" s="16" t="s">
        <v>233</v>
      </c>
      <c r="E21" s="6" t="s">
        <v>16</v>
      </c>
      <c r="F21" s="6" t="s">
        <v>64</v>
      </c>
      <c r="G21" s="6" t="s">
        <v>12</v>
      </c>
      <c r="H21" s="6">
        <v>42</v>
      </c>
      <c r="I21" s="7">
        <v>4787</v>
      </c>
      <c r="J21" s="37">
        <f t="shared" si="0"/>
        <v>33509</v>
      </c>
      <c r="K21" s="17" t="s">
        <v>298</v>
      </c>
    </row>
    <row r="22" spans="1:11" x14ac:dyDescent="0.3">
      <c r="A22" s="33" t="s">
        <v>37</v>
      </c>
      <c r="B22" s="4" t="s">
        <v>171</v>
      </c>
      <c r="C22" s="17" t="s">
        <v>8</v>
      </c>
      <c r="D22" s="43" t="s">
        <v>233</v>
      </c>
      <c r="E22" s="35" t="s">
        <v>14</v>
      </c>
      <c r="F22" s="35" t="s">
        <v>62</v>
      </c>
      <c r="G22" s="35" t="s">
        <v>12</v>
      </c>
      <c r="H22" s="35">
        <v>27</v>
      </c>
      <c r="I22" s="36">
        <v>2998</v>
      </c>
      <c r="J22" s="37">
        <f t="shared" si="0"/>
        <v>20986</v>
      </c>
      <c r="K22" s="40" t="s">
        <v>298</v>
      </c>
    </row>
    <row r="23" spans="1:11" x14ac:dyDescent="0.3">
      <c r="A23" s="5" t="s">
        <v>38</v>
      </c>
      <c r="B23" s="4" t="s">
        <v>80</v>
      </c>
      <c r="C23" s="17" t="s">
        <v>8</v>
      </c>
      <c r="D23" s="16" t="s">
        <v>233</v>
      </c>
      <c r="E23" s="6" t="s">
        <v>18</v>
      </c>
      <c r="F23" s="6" t="s">
        <v>62</v>
      </c>
      <c r="G23" s="6" t="s">
        <v>12</v>
      </c>
      <c r="H23" s="6">
        <v>55</v>
      </c>
      <c r="I23" s="7">
        <v>5789</v>
      </c>
      <c r="J23" s="37">
        <f t="shared" si="0"/>
        <v>40523</v>
      </c>
      <c r="K23" s="17" t="s">
        <v>298</v>
      </c>
    </row>
    <row r="24" spans="1:11" x14ac:dyDescent="0.3">
      <c r="A24" s="33" t="s">
        <v>39</v>
      </c>
      <c r="B24" s="4" t="s">
        <v>80</v>
      </c>
      <c r="C24" s="17" t="s">
        <v>8</v>
      </c>
      <c r="D24" s="43" t="s">
        <v>233</v>
      </c>
      <c r="E24" s="35" t="s">
        <v>10</v>
      </c>
      <c r="F24" s="35" t="s">
        <v>62</v>
      </c>
      <c r="G24" s="35" t="s">
        <v>12</v>
      </c>
      <c r="H24" s="35">
        <v>255</v>
      </c>
      <c r="I24" s="36">
        <v>14000</v>
      </c>
      <c r="J24" s="37">
        <f t="shared" si="0"/>
        <v>98000</v>
      </c>
      <c r="K24" s="40" t="s">
        <v>298</v>
      </c>
    </row>
    <row r="25" spans="1:11" x14ac:dyDescent="0.3">
      <c r="A25" s="5" t="s">
        <v>40</v>
      </c>
      <c r="B25" s="4" t="s">
        <v>80</v>
      </c>
      <c r="C25" s="17" t="s">
        <v>8</v>
      </c>
      <c r="D25" s="16" t="s">
        <v>233</v>
      </c>
      <c r="E25" s="6" t="s">
        <v>14</v>
      </c>
      <c r="F25" s="6" t="s">
        <v>62</v>
      </c>
      <c r="G25" s="6" t="s">
        <v>12</v>
      </c>
      <c r="H25" s="6">
        <v>155</v>
      </c>
      <c r="I25" s="7">
        <v>8750</v>
      </c>
      <c r="J25" s="37">
        <f t="shared" si="0"/>
        <v>61250</v>
      </c>
      <c r="K25" s="17" t="s">
        <v>298</v>
      </c>
    </row>
    <row r="26" spans="1:11" x14ac:dyDescent="0.3">
      <c r="A26" s="33" t="s">
        <v>41</v>
      </c>
      <c r="B26" s="4" t="s">
        <v>80</v>
      </c>
      <c r="C26" s="17" t="s">
        <v>8</v>
      </c>
      <c r="D26" s="43" t="s">
        <v>233</v>
      </c>
      <c r="E26" s="35" t="s">
        <v>14</v>
      </c>
      <c r="F26" s="35" t="s">
        <v>62</v>
      </c>
      <c r="G26" s="35" t="s">
        <v>12</v>
      </c>
      <c r="H26" s="35">
        <v>78</v>
      </c>
      <c r="I26" s="36">
        <v>4000</v>
      </c>
      <c r="J26" s="37">
        <f t="shared" si="0"/>
        <v>28000</v>
      </c>
      <c r="K26" s="40" t="s">
        <v>298</v>
      </c>
    </row>
    <row r="27" spans="1:11" x14ac:dyDescent="0.3">
      <c r="A27" s="5" t="s">
        <v>42</v>
      </c>
      <c r="B27" s="4" t="s">
        <v>83</v>
      </c>
      <c r="C27" s="17" t="s">
        <v>8</v>
      </c>
      <c r="D27" s="16" t="s">
        <v>9</v>
      </c>
      <c r="E27" s="6" t="s">
        <v>16</v>
      </c>
      <c r="F27" s="6" t="s">
        <v>62</v>
      </c>
      <c r="G27" s="6" t="s">
        <v>12</v>
      </c>
      <c r="H27" s="6">
        <v>178</v>
      </c>
      <c r="I27" s="7">
        <v>8787</v>
      </c>
      <c r="J27" s="37">
        <f t="shared" si="0"/>
        <v>61509</v>
      </c>
      <c r="K27" s="17" t="s">
        <v>298</v>
      </c>
    </row>
    <row r="28" spans="1:11" x14ac:dyDescent="0.3">
      <c r="A28" s="33" t="s">
        <v>42</v>
      </c>
      <c r="B28" s="4" t="s">
        <v>83</v>
      </c>
      <c r="C28" s="17" t="s">
        <v>8</v>
      </c>
      <c r="D28" s="43" t="s">
        <v>9</v>
      </c>
      <c r="E28" s="35" t="s">
        <v>14</v>
      </c>
      <c r="F28" s="35" t="s">
        <v>67</v>
      </c>
      <c r="G28" s="35" t="s">
        <v>12</v>
      </c>
      <c r="H28" s="35">
        <v>123</v>
      </c>
      <c r="I28" s="36">
        <v>7880</v>
      </c>
      <c r="J28" s="37">
        <f t="shared" si="0"/>
        <v>55160</v>
      </c>
      <c r="K28" s="40" t="s">
        <v>298</v>
      </c>
    </row>
    <row r="29" spans="1:11" x14ac:dyDescent="0.3">
      <c r="A29" s="5" t="s">
        <v>43</v>
      </c>
      <c r="B29" s="4" t="s">
        <v>171</v>
      </c>
      <c r="C29" s="17" t="s">
        <v>8</v>
      </c>
      <c r="D29" s="16" t="s">
        <v>9</v>
      </c>
      <c r="E29" s="6" t="s">
        <v>18</v>
      </c>
      <c r="F29" s="6" t="s">
        <v>67</v>
      </c>
      <c r="G29" s="6" t="s">
        <v>12</v>
      </c>
      <c r="H29" s="6">
        <v>128</v>
      </c>
      <c r="I29" s="7">
        <v>7200</v>
      </c>
      <c r="J29" s="37">
        <f t="shared" si="0"/>
        <v>50400</v>
      </c>
      <c r="K29" s="17" t="s">
        <v>298</v>
      </c>
    </row>
    <row r="30" spans="1:11" x14ac:dyDescent="0.3">
      <c r="A30" s="33" t="s">
        <v>17</v>
      </c>
      <c r="B30" s="4" t="s">
        <v>308</v>
      </c>
      <c r="C30" s="17" t="s">
        <v>8</v>
      </c>
      <c r="D30" s="43" t="s">
        <v>9</v>
      </c>
      <c r="E30" s="35" t="s">
        <v>10</v>
      </c>
      <c r="F30" s="35" t="s">
        <v>67</v>
      </c>
      <c r="G30" s="35" t="s">
        <v>12</v>
      </c>
      <c r="H30" s="35">
        <v>189</v>
      </c>
      <c r="I30" s="36">
        <v>9700</v>
      </c>
      <c r="J30" s="37">
        <f t="shared" si="0"/>
        <v>67900</v>
      </c>
      <c r="K30" s="40" t="s">
        <v>298</v>
      </c>
    </row>
    <row r="31" spans="1:11" x14ac:dyDescent="0.3">
      <c r="A31" s="5" t="s">
        <v>44</v>
      </c>
      <c r="B31" s="4" t="s">
        <v>309</v>
      </c>
      <c r="C31" s="17" t="s">
        <v>8</v>
      </c>
      <c r="D31" s="16" t="s">
        <v>9</v>
      </c>
      <c r="E31" s="6" t="s">
        <v>14</v>
      </c>
      <c r="F31" s="6" t="s">
        <v>67</v>
      </c>
      <c r="G31" s="6" t="s">
        <v>12</v>
      </c>
      <c r="H31" s="6">
        <v>215</v>
      </c>
      <c r="I31" s="7">
        <v>11850</v>
      </c>
      <c r="J31" s="37">
        <f t="shared" si="0"/>
        <v>82950</v>
      </c>
      <c r="K31" s="17" t="s">
        <v>298</v>
      </c>
    </row>
    <row r="32" spans="1:11" x14ac:dyDescent="0.3">
      <c r="A32" s="33" t="s">
        <v>45</v>
      </c>
      <c r="B32" s="4" t="s">
        <v>310</v>
      </c>
      <c r="C32" s="17" t="s">
        <v>8</v>
      </c>
      <c r="D32" s="43" t="s">
        <v>9</v>
      </c>
      <c r="E32" s="35" t="s">
        <v>14</v>
      </c>
      <c r="F32" s="35" t="s">
        <v>67</v>
      </c>
      <c r="G32" s="35" t="s">
        <v>12</v>
      </c>
      <c r="H32" s="35">
        <v>156</v>
      </c>
      <c r="I32" s="36">
        <v>8500</v>
      </c>
      <c r="J32" s="37">
        <f t="shared" si="0"/>
        <v>59500</v>
      </c>
      <c r="K32" s="40" t="s">
        <v>298</v>
      </c>
    </row>
    <row r="33" spans="1:11" x14ac:dyDescent="0.3">
      <c r="A33" s="5" t="s">
        <v>46</v>
      </c>
      <c r="B33" s="4" t="s">
        <v>170</v>
      </c>
      <c r="C33" s="17" t="s">
        <v>8</v>
      </c>
      <c r="D33" s="16" t="s">
        <v>16</v>
      </c>
      <c r="E33" s="6" t="s">
        <v>10</v>
      </c>
      <c r="F33" s="6" t="s">
        <v>67</v>
      </c>
      <c r="G33" s="6" t="s">
        <v>12</v>
      </c>
      <c r="H33" s="6">
        <v>144</v>
      </c>
      <c r="I33" s="7">
        <v>10283.666666666701</v>
      </c>
      <c r="J33" s="37">
        <f t="shared" si="0"/>
        <v>71985.666666666904</v>
      </c>
      <c r="K33" s="17" t="s">
        <v>298</v>
      </c>
    </row>
    <row r="34" spans="1:11" x14ac:dyDescent="0.3">
      <c r="A34" s="33" t="s">
        <v>47</v>
      </c>
      <c r="B34" s="4" t="s">
        <v>311</v>
      </c>
      <c r="C34" s="17" t="s">
        <v>8</v>
      </c>
      <c r="D34" s="43" t="s">
        <v>15</v>
      </c>
      <c r="E34" s="35" t="s">
        <v>10</v>
      </c>
      <c r="F34" s="35" t="s">
        <v>67</v>
      </c>
      <c r="G34" s="35" t="s">
        <v>12</v>
      </c>
      <c r="H34" s="35">
        <v>166</v>
      </c>
      <c r="I34" s="36">
        <v>10654.380952381</v>
      </c>
      <c r="J34" s="37">
        <f t="shared" si="0"/>
        <v>74580.666666666992</v>
      </c>
      <c r="K34" s="40" t="s">
        <v>300</v>
      </c>
    </row>
    <row r="35" spans="1:11" x14ac:dyDescent="0.3">
      <c r="A35" s="5" t="s">
        <v>48</v>
      </c>
      <c r="B35" s="4" t="s">
        <v>80</v>
      </c>
      <c r="C35" s="17" t="s">
        <v>8</v>
      </c>
      <c r="D35" s="16" t="s">
        <v>233</v>
      </c>
      <c r="E35" s="6" t="s">
        <v>10</v>
      </c>
      <c r="F35" s="6" t="s">
        <v>67</v>
      </c>
      <c r="G35" s="6" t="s">
        <v>12</v>
      </c>
      <c r="H35" s="6">
        <v>177</v>
      </c>
      <c r="I35" s="7">
        <v>11025.0952380952</v>
      </c>
      <c r="J35" s="37">
        <f t="shared" si="0"/>
        <v>77175.666666666395</v>
      </c>
      <c r="K35" s="17" t="s">
        <v>300</v>
      </c>
    </row>
    <row r="36" spans="1:11" x14ac:dyDescent="0.3">
      <c r="A36" s="33" t="s">
        <v>49</v>
      </c>
      <c r="B36" s="4" t="s">
        <v>312</v>
      </c>
      <c r="C36" s="17" t="s">
        <v>8</v>
      </c>
      <c r="D36" s="43" t="s">
        <v>233</v>
      </c>
      <c r="E36" s="35" t="s">
        <v>10</v>
      </c>
      <c r="F36" s="35" t="s">
        <v>67</v>
      </c>
      <c r="G36" s="35" t="s">
        <v>12</v>
      </c>
      <c r="H36" s="35">
        <v>211</v>
      </c>
      <c r="I36" s="36">
        <v>11395.809523809499</v>
      </c>
      <c r="J36" s="37">
        <f t="shared" si="0"/>
        <v>79770.666666666497</v>
      </c>
      <c r="K36" s="40" t="s">
        <v>300</v>
      </c>
    </row>
    <row r="37" spans="1:11" x14ac:dyDescent="0.3">
      <c r="A37" s="5" t="s">
        <v>49</v>
      </c>
      <c r="B37" s="4" t="s">
        <v>166</v>
      </c>
      <c r="C37" s="17" t="s">
        <v>8</v>
      </c>
      <c r="D37" s="16" t="s">
        <v>233</v>
      </c>
      <c r="E37" s="6" t="s">
        <v>10</v>
      </c>
      <c r="F37" s="6" t="s">
        <v>68</v>
      </c>
      <c r="G37" s="6" t="s">
        <v>12</v>
      </c>
      <c r="H37" s="6">
        <v>216</v>
      </c>
      <c r="I37" s="7">
        <v>11766.5238095238</v>
      </c>
      <c r="J37" s="37">
        <f t="shared" si="0"/>
        <v>82365.666666666599</v>
      </c>
      <c r="K37" s="17" t="s">
        <v>300</v>
      </c>
    </row>
    <row r="38" spans="1:11" x14ac:dyDescent="0.3">
      <c r="A38" s="33" t="s">
        <v>49</v>
      </c>
      <c r="B38" s="4" t="s">
        <v>313</v>
      </c>
      <c r="C38" s="17" t="s">
        <v>8</v>
      </c>
      <c r="D38" s="43" t="s">
        <v>233</v>
      </c>
      <c r="E38" s="35" t="s">
        <v>10</v>
      </c>
      <c r="F38" s="35" t="s">
        <v>67</v>
      </c>
      <c r="G38" s="35" t="s">
        <v>12</v>
      </c>
      <c r="H38" s="35">
        <v>119</v>
      </c>
      <c r="I38" s="36">
        <v>8000</v>
      </c>
      <c r="J38" s="37">
        <f t="shared" si="0"/>
        <v>56000</v>
      </c>
      <c r="K38" s="40" t="s">
        <v>300</v>
      </c>
    </row>
    <row r="39" spans="1:11" x14ac:dyDescent="0.3">
      <c r="A39" s="5" t="s">
        <v>49</v>
      </c>
      <c r="B39" s="4" t="s">
        <v>312</v>
      </c>
      <c r="C39" s="17" t="s">
        <v>8</v>
      </c>
      <c r="D39" s="16" t="s">
        <v>233</v>
      </c>
      <c r="E39" s="6" t="s">
        <v>10</v>
      </c>
      <c r="F39" s="6" t="s">
        <v>62</v>
      </c>
      <c r="G39" s="6" t="s">
        <v>12</v>
      </c>
      <c r="H39" s="6">
        <v>233</v>
      </c>
      <c r="I39" s="7">
        <v>12545</v>
      </c>
      <c r="J39" s="37">
        <f t="shared" si="0"/>
        <v>87815</v>
      </c>
      <c r="K39" s="17" t="s">
        <v>300</v>
      </c>
    </row>
    <row r="40" spans="1:11" x14ac:dyDescent="0.3">
      <c r="A40" s="33" t="s">
        <v>50</v>
      </c>
      <c r="B40" s="4" t="s">
        <v>312</v>
      </c>
      <c r="C40" s="17" t="s">
        <v>8</v>
      </c>
      <c r="D40" s="43" t="s">
        <v>233</v>
      </c>
      <c r="E40" s="35" t="s">
        <v>10</v>
      </c>
      <c r="F40" s="35" t="s">
        <v>69</v>
      </c>
      <c r="G40" s="35" t="s">
        <v>12</v>
      </c>
      <c r="H40" s="35">
        <v>223</v>
      </c>
      <c r="I40" s="36">
        <v>13200</v>
      </c>
      <c r="J40" s="37">
        <f t="shared" si="0"/>
        <v>92400</v>
      </c>
      <c r="K40" s="40" t="s">
        <v>300</v>
      </c>
    </row>
    <row r="41" spans="1:11" x14ac:dyDescent="0.3">
      <c r="A41" s="5" t="s">
        <v>51</v>
      </c>
      <c r="B41" s="4" t="s">
        <v>312</v>
      </c>
      <c r="C41" s="17" t="s">
        <v>8</v>
      </c>
      <c r="D41" s="16" t="s">
        <v>233</v>
      </c>
      <c r="E41" s="6" t="s">
        <v>10</v>
      </c>
      <c r="F41" s="6" t="s">
        <v>69</v>
      </c>
      <c r="G41" s="6" t="s">
        <v>12</v>
      </c>
      <c r="H41" s="6">
        <v>169</v>
      </c>
      <c r="I41" s="7">
        <v>9400</v>
      </c>
      <c r="J41" s="37">
        <f t="shared" si="0"/>
        <v>65800</v>
      </c>
      <c r="K41" s="17" t="s">
        <v>300</v>
      </c>
    </row>
    <row r="42" spans="1:11" x14ac:dyDescent="0.3">
      <c r="A42" s="33" t="s">
        <v>52</v>
      </c>
      <c r="B42" s="4" t="s">
        <v>312</v>
      </c>
      <c r="C42" s="17" t="s">
        <v>8</v>
      </c>
      <c r="D42" s="43" t="s">
        <v>233</v>
      </c>
      <c r="E42" s="35" t="s">
        <v>10</v>
      </c>
      <c r="F42" s="35" t="s">
        <v>70</v>
      </c>
      <c r="G42" s="35" t="s">
        <v>12</v>
      </c>
      <c r="H42" s="35">
        <v>196</v>
      </c>
      <c r="I42" s="36">
        <v>9990</v>
      </c>
      <c r="J42" s="37">
        <f t="shared" si="0"/>
        <v>69930</v>
      </c>
      <c r="K42" s="40" t="s">
        <v>300</v>
      </c>
    </row>
    <row r="43" spans="1:11" x14ac:dyDescent="0.3">
      <c r="A43" s="5" t="s">
        <v>53</v>
      </c>
      <c r="B43" s="4" t="s">
        <v>312</v>
      </c>
      <c r="C43" s="17" t="s">
        <v>8</v>
      </c>
      <c r="D43" s="16" t="s">
        <v>233</v>
      </c>
      <c r="E43" s="6" t="s">
        <v>10</v>
      </c>
      <c r="F43" s="6" t="s">
        <v>71</v>
      </c>
      <c r="G43" s="6" t="s">
        <v>12</v>
      </c>
      <c r="H43" s="6">
        <v>188</v>
      </c>
      <c r="I43" s="7">
        <v>9840</v>
      </c>
      <c r="J43" s="37">
        <f t="shared" si="0"/>
        <v>68880</v>
      </c>
      <c r="K43" s="17" t="s">
        <v>300</v>
      </c>
    </row>
    <row r="44" spans="1:11" x14ac:dyDescent="0.3">
      <c r="A44" s="33" t="s">
        <v>54</v>
      </c>
      <c r="B44" s="4" t="s">
        <v>312</v>
      </c>
      <c r="C44" s="17" t="s">
        <v>8</v>
      </c>
      <c r="D44" s="43" t="s">
        <v>233</v>
      </c>
      <c r="E44" s="35" t="s">
        <v>10</v>
      </c>
      <c r="F44" s="35" t="s">
        <v>62</v>
      </c>
      <c r="G44" s="35" t="s">
        <v>12</v>
      </c>
      <c r="H44" s="35">
        <v>57</v>
      </c>
      <c r="I44" s="36">
        <v>4521</v>
      </c>
      <c r="J44" s="37">
        <f t="shared" si="0"/>
        <v>31647</v>
      </c>
      <c r="K44" s="40" t="s">
        <v>300</v>
      </c>
    </row>
    <row r="45" spans="1:11" x14ac:dyDescent="0.3">
      <c r="A45" s="5" t="s">
        <v>55</v>
      </c>
      <c r="B45" s="4" t="s">
        <v>312</v>
      </c>
      <c r="C45" s="17" t="s">
        <v>8</v>
      </c>
      <c r="D45" s="16" t="s">
        <v>9</v>
      </c>
      <c r="E45" s="6" t="s">
        <v>10</v>
      </c>
      <c r="F45" s="6" t="s">
        <v>62</v>
      </c>
      <c r="G45" s="6" t="s">
        <v>12</v>
      </c>
      <c r="H45" s="6">
        <v>75</v>
      </c>
      <c r="I45" s="7">
        <v>6541</v>
      </c>
      <c r="J45" s="37">
        <f t="shared" si="0"/>
        <v>45787</v>
      </c>
      <c r="K45" s="17" t="s">
        <v>300</v>
      </c>
    </row>
    <row r="46" spans="1:11" x14ac:dyDescent="0.3">
      <c r="A46" s="33" t="s">
        <v>56</v>
      </c>
      <c r="B46" s="4" t="s">
        <v>312</v>
      </c>
      <c r="C46" s="17" t="s">
        <v>8</v>
      </c>
      <c r="D46" s="43" t="s">
        <v>9</v>
      </c>
      <c r="E46" s="35" t="s">
        <v>10</v>
      </c>
      <c r="F46" s="35" t="s">
        <v>62</v>
      </c>
      <c r="G46" s="35" t="s">
        <v>12</v>
      </c>
      <c r="H46" s="35">
        <v>95</v>
      </c>
      <c r="I46" s="36">
        <v>7845</v>
      </c>
      <c r="J46" s="37">
        <f t="shared" si="0"/>
        <v>54915</v>
      </c>
      <c r="K46" s="40" t="s">
        <v>300</v>
      </c>
    </row>
    <row r="47" spans="1:11" x14ac:dyDescent="0.3">
      <c r="A47" s="5" t="s">
        <v>57</v>
      </c>
      <c r="B47" s="4" t="s">
        <v>312</v>
      </c>
      <c r="C47" s="17" t="s">
        <v>8</v>
      </c>
      <c r="D47" s="16" t="s">
        <v>9</v>
      </c>
      <c r="E47" s="6" t="s">
        <v>10</v>
      </c>
      <c r="F47" s="6" t="s">
        <v>67</v>
      </c>
      <c r="G47" s="6" t="s">
        <v>12</v>
      </c>
      <c r="H47" s="6">
        <v>59</v>
      </c>
      <c r="I47" s="7">
        <v>4500</v>
      </c>
      <c r="J47" s="37">
        <f t="shared" si="0"/>
        <v>31500</v>
      </c>
      <c r="K47" s="17" t="s">
        <v>300</v>
      </c>
    </row>
    <row r="48" spans="1:11" x14ac:dyDescent="0.3">
      <c r="A48" s="33" t="s">
        <v>58</v>
      </c>
      <c r="B48" s="4" t="s">
        <v>312</v>
      </c>
      <c r="C48" s="17" t="s">
        <v>8</v>
      </c>
      <c r="D48" s="43" t="s">
        <v>9</v>
      </c>
      <c r="E48" s="35" t="s">
        <v>10</v>
      </c>
      <c r="F48" s="35" t="s">
        <v>67</v>
      </c>
      <c r="G48" s="35" t="s">
        <v>12</v>
      </c>
      <c r="H48" s="35">
        <v>53</v>
      </c>
      <c r="I48" s="36">
        <v>4450</v>
      </c>
      <c r="J48" s="37">
        <f t="shared" si="0"/>
        <v>31150</v>
      </c>
      <c r="K48" s="40" t="s">
        <v>300</v>
      </c>
    </row>
    <row r="49" spans="1:11" x14ac:dyDescent="0.3">
      <c r="A49" s="5" t="s">
        <v>59</v>
      </c>
      <c r="B49" s="4" t="s">
        <v>312</v>
      </c>
      <c r="C49" s="17" t="s">
        <v>8</v>
      </c>
      <c r="D49" s="16" t="s">
        <v>9</v>
      </c>
      <c r="E49" s="6" t="s">
        <v>10</v>
      </c>
      <c r="F49" s="6" t="s">
        <v>11</v>
      </c>
      <c r="G49" s="6" t="s">
        <v>12</v>
      </c>
      <c r="H49" s="6">
        <v>39</v>
      </c>
      <c r="I49" s="7">
        <v>3500</v>
      </c>
      <c r="J49" s="37">
        <f t="shared" si="0"/>
        <v>24500</v>
      </c>
      <c r="K49" s="17" t="s">
        <v>292</v>
      </c>
    </row>
    <row r="50" spans="1:11" x14ac:dyDescent="0.3">
      <c r="A50" s="33" t="s">
        <v>60</v>
      </c>
      <c r="B50" s="4" t="s">
        <v>312</v>
      </c>
      <c r="C50" s="17" t="s">
        <v>8</v>
      </c>
      <c r="D50" s="43" t="s">
        <v>9</v>
      </c>
      <c r="E50" s="35" t="s">
        <v>14</v>
      </c>
      <c r="F50" s="35" t="s">
        <v>11</v>
      </c>
      <c r="G50" s="35" t="s">
        <v>12</v>
      </c>
      <c r="H50" s="35">
        <v>45</v>
      </c>
      <c r="I50" s="36">
        <v>9870</v>
      </c>
      <c r="J50" s="37">
        <f t="shared" si="0"/>
        <v>69090</v>
      </c>
      <c r="K50" s="40" t="s">
        <v>292</v>
      </c>
    </row>
    <row r="51" spans="1:11" x14ac:dyDescent="0.3">
      <c r="A51" s="5" t="s">
        <v>61</v>
      </c>
      <c r="B51" s="9" t="s">
        <v>312</v>
      </c>
      <c r="C51" s="14" t="s">
        <v>8</v>
      </c>
      <c r="D51" s="16" t="s">
        <v>9</v>
      </c>
      <c r="E51" s="6" t="s">
        <v>14</v>
      </c>
      <c r="F51" s="6" t="s">
        <v>11</v>
      </c>
      <c r="G51" s="6" t="s">
        <v>12</v>
      </c>
      <c r="H51" s="6">
        <v>185</v>
      </c>
      <c r="I51" s="7">
        <v>9870</v>
      </c>
      <c r="J51" s="37">
        <f t="shared" si="0"/>
        <v>69090</v>
      </c>
      <c r="K51" s="17" t="s">
        <v>292</v>
      </c>
    </row>
    <row r="52" spans="1:11" x14ac:dyDescent="0.3">
      <c r="A52" s="35" t="s">
        <v>72</v>
      </c>
      <c r="B52" s="4" t="s">
        <v>73</v>
      </c>
      <c r="C52" s="6" t="s">
        <v>92</v>
      </c>
      <c r="D52" s="43" t="s">
        <v>9</v>
      </c>
      <c r="E52" s="35" t="s">
        <v>18</v>
      </c>
      <c r="F52" s="35" t="s">
        <v>62</v>
      </c>
      <c r="G52" s="35" t="s">
        <v>67</v>
      </c>
      <c r="H52" s="35">
        <v>98</v>
      </c>
      <c r="I52" s="33">
        <v>6762</v>
      </c>
      <c r="J52" s="37">
        <f t="shared" si="0"/>
        <v>47334</v>
      </c>
      <c r="K52" s="45" t="s">
        <v>292</v>
      </c>
    </row>
    <row r="53" spans="1:11" x14ac:dyDescent="0.3">
      <c r="A53" s="6" t="s">
        <v>72</v>
      </c>
      <c r="B53" s="4" t="s">
        <v>90</v>
      </c>
      <c r="C53" s="6" t="s">
        <v>92</v>
      </c>
      <c r="D53" s="16" t="s">
        <v>9</v>
      </c>
      <c r="E53" s="6" t="s">
        <v>18</v>
      </c>
      <c r="F53" s="6" t="s">
        <v>62</v>
      </c>
      <c r="G53" s="6" t="s">
        <v>67</v>
      </c>
      <c r="H53" s="6">
        <v>45</v>
      </c>
      <c r="I53" s="5">
        <v>3105</v>
      </c>
      <c r="J53" s="37">
        <f t="shared" si="0"/>
        <v>21735</v>
      </c>
      <c r="K53" s="46" t="s">
        <v>292</v>
      </c>
    </row>
    <row r="54" spans="1:11" x14ac:dyDescent="0.3">
      <c r="A54" s="35" t="s">
        <v>72</v>
      </c>
      <c r="B54" s="4" t="s">
        <v>74</v>
      </c>
      <c r="C54" s="6" t="s">
        <v>92</v>
      </c>
      <c r="D54" s="43" t="s">
        <v>9</v>
      </c>
      <c r="E54" s="35" t="s">
        <v>18</v>
      </c>
      <c r="F54" s="35" t="s">
        <v>62</v>
      </c>
      <c r="G54" s="35" t="s">
        <v>67</v>
      </c>
      <c r="H54" s="35">
        <v>78</v>
      </c>
      <c r="I54" s="33">
        <v>5382</v>
      </c>
      <c r="J54" s="37">
        <f t="shared" si="0"/>
        <v>37674</v>
      </c>
      <c r="K54" s="45" t="s">
        <v>292</v>
      </c>
    </row>
    <row r="55" spans="1:11" x14ac:dyDescent="0.3">
      <c r="A55" s="6" t="s">
        <v>72</v>
      </c>
      <c r="B55" s="4" t="s">
        <v>75</v>
      </c>
      <c r="C55" s="6" t="s">
        <v>92</v>
      </c>
      <c r="D55" s="16" t="s">
        <v>110</v>
      </c>
      <c r="E55" s="6" t="s">
        <v>18</v>
      </c>
      <c r="F55" s="6" t="s">
        <v>62</v>
      </c>
      <c r="G55" s="6" t="s">
        <v>67</v>
      </c>
      <c r="H55" s="6">
        <v>152</v>
      </c>
      <c r="I55" s="5">
        <v>10488</v>
      </c>
      <c r="J55" s="37">
        <f t="shared" si="0"/>
        <v>73416</v>
      </c>
      <c r="K55" s="46" t="s">
        <v>292</v>
      </c>
    </row>
    <row r="56" spans="1:11" x14ac:dyDescent="0.3">
      <c r="A56" s="35" t="s">
        <v>72</v>
      </c>
      <c r="B56" s="4" t="s">
        <v>76</v>
      </c>
      <c r="C56" s="6" t="s">
        <v>92</v>
      </c>
      <c r="D56" s="43" t="s">
        <v>110</v>
      </c>
      <c r="E56" s="35" t="s">
        <v>18</v>
      </c>
      <c r="F56" s="35" t="s">
        <v>62</v>
      </c>
      <c r="G56" s="35" t="s">
        <v>67</v>
      </c>
      <c r="H56" s="35">
        <v>44</v>
      </c>
      <c r="I56" s="33">
        <v>3036</v>
      </c>
      <c r="J56" s="37">
        <f t="shared" si="0"/>
        <v>21252</v>
      </c>
      <c r="K56" s="45" t="s">
        <v>292</v>
      </c>
    </row>
    <row r="57" spans="1:11" x14ac:dyDescent="0.3">
      <c r="A57" s="6" t="s">
        <v>77</v>
      </c>
      <c r="B57" s="4" t="s">
        <v>91</v>
      </c>
      <c r="C57" s="6" t="s">
        <v>92</v>
      </c>
      <c r="D57" s="16" t="s">
        <v>9</v>
      </c>
      <c r="E57" s="6" t="s">
        <v>18</v>
      </c>
      <c r="F57" s="6" t="s">
        <v>62</v>
      </c>
      <c r="G57" s="6" t="s">
        <v>67</v>
      </c>
      <c r="H57" s="6">
        <v>66</v>
      </c>
      <c r="I57" s="5">
        <v>4554</v>
      </c>
      <c r="J57" s="37">
        <f t="shared" si="0"/>
        <v>31878</v>
      </c>
      <c r="K57" s="46" t="s">
        <v>292</v>
      </c>
    </row>
    <row r="58" spans="1:11" x14ac:dyDescent="0.3">
      <c r="A58" s="35" t="s">
        <v>77</v>
      </c>
      <c r="B58" s="4" t="s">
        <v>79</v>
      </c>
      <c r="C58" s="6" t="s">
        <v>92</v>
      </c>
      <c r="D58" s="43" t="s">
        <v>9</v>
      </c>
      <c r="E58" s="35" t="s">
        <v>18</v>
      </c>
      <c r="F58" s="35" t="s">
        <v>62</v>
      </c>
      <c r="G58" s="35" t="s">
        <v>67</v>
      </c>
      <c r="H58" s="35">
        <v>122</v>
      </c>
      <c r="I58" s="33">
        <v>8418</v>
      </c>
      <c r="J58" s="37">
        <f t="shared" si="0"/>
        <v>58926</v>
      </c>
      <c r="K58" s="45" t="s">
        <v>292</v>
      </c>
    </row>
    <row r="59" spans="1:11" x14ac:dyDescent="0.3">
      <c r="A59" s="6" t="s">
        <v>77</v>
      </c>
      <c r="B59" s="4" t="s">
        <v>74</v>
      </c>
      <c r="C59" s="6" t="s">
        <v>92</v>
      </c>
      <c r="D59" s="16" t="s">
        <v>9</v>
      </c>
      <c r="E59" s="6" t="s">
        <v>18</v>
      </c>
      <c r="F59" s="6" t="s">
        <v>62</v>
      </c>
      <c r="G59" s="6" t="s">
        <v>67</v>
      </c>
      <c r="H59" s="6">
        <v>111</v>
      </c>
      <c r="I59" s="5">
        <v>7659</v>
      </c>
      <c r="J59" s="37">
        <f t="shared" si="0"/>
        <v>53613</v>
      </c>
      <c r="K59" s="46" t="s">
        <v>292</v>
      </c>
    </row>
    <row r="60" spans="1:11" x14ac:dyDescent="0.3">
      <c r="A60" s="35" t="s">
        <v>77</v>
      </c>
      <c r="B60" s="4" t="s">
        <v>80</v>
      </c>
      <c r="C60" s="6" t="s">
        <v>92</v>
      </c>
      <c r="D60" s="43" t="s">
        <v>9</v>
      </c>
      <c r="E60" s="35" t="s">
        <v>18</v>
      </c>
      <c r="F60" s="35" t="s">
        <v>62</v>
      </c>
      <c r="G60" s="35" t="s">
        <v>67</v>
      </c>
      <c r="H60" s="35">
        <v>59</v>
      </c>
      <c r="I60" s="33">
        <v>4071</v>
      </c>
      <c r="J60" s="37">
        <f t="shared" si="0"/>
        <v>28497</v>
      </c>
      <c r="K60" s="45" t="s">
        <v>292</v>
      </c>
    </row>
    <row r="61" spans="1:11" x14ac:dyDescent="0.3">
      <c r="A61" s="6" t="s">
        <v>77</v>
      </c>
      <c r="B61" s="4" t="s">
        <v>81</v>
      </c>
      <c r="C61" s="6" t="s">
        <v>92</v>
      </c>
      <c r="D61" s="16" t="s">
        <v>9</v>
      </c>
      <c r="E61" s="6" t="s">
        <v>18</v>
      </c>
      <c r="F61" s="6" t="s">
        <v>62</v>
      </c>
      <c r="G61" s="6" t="s">
        <v>115</v>
      </c>
      <c r="H61" s="6">
        <v>36</v>
      </c>
      <c r="I61" s="5">
        <v>2484</v>
      </c>
      <c r="J61" s="37">
        <f t="shared" si="0"/>
        <v>17388</v>
      </c>
      <c r="K61" s="46" t="s">
        <v>292</v>
      </c>
    </row>
    <row r="62" spans="1:11" x14ac:dyDescent="0.3">
      <c r="A62" s="35" t="s">
        <v>77</v>
      </c>
      <c r="B62" s="4" t="s">
        <v>82</v>
      </c>
      <c r="C62" s="6" t="s">
        <v>92</v>
      </c>
      <c r="D62" s="43" t="s">
        <v>233</v>
      </c>
      <c r="E62" s="35" t="s">
        <v>18</v>
      </c>
      <c r="F62" s="35" t="s">
        <v>62</v>
      </c>
      <c r="G62" s="35" t="s">
        <v>115</v>
      </c>
      <c r="H62" s="35">
        <v>79</v>
      </c>
      <c r="I62" s="33">
        <v>5451</v>
      </c>
      <c r="J62" s="37">
        <f t="shared" si="0"/>
        <v>38157</v>
      </c>
      <c r="K62" s="45" t="s">
        <v>292</v>
      </c>
    </row>
    <row r="63" spans="1:11" x14ac:dyDescent="0.3">
      <c r="A63" s="6" t="s">
        <v>77</v>
      </c>
      <c r="B63" s="4" t="s">
        <v>83</v>
      </c>
      <c r="C63" s="6" t="s">
        <v>92</v>
      </c>
      <c r="D63" s="16" t="s">
        <v>233</v>
      </c>
      <c r="E63" s="6" t="s">
        <v>18</v>
      </c>
      <c r="F63" s="6" t="s">
        <v>62</v>
      </c>
      <c r="G63" s="6" t="s">
        <v>116</v>
      </c>
      <c r="H63" s="6">
        <v>88</v>
      </c>
      <c r="I63" s="5">
        <v>6072</v>
      </c>
      <c r="J63" s="37">
        <f t="shared" si="0"/>
        <v>42504</v>
      </c>
      <c r="K63" s="46" t="s">
        <v>292</v>
      </c>
    </row>
    <row r="64" spans="1:11" x14ac:dyDescent="0.3">
      <c r="A64" s="35" t="s">
        <v>77</v>
      </c>
      <c r="B64" s="4" t="s">
        <v>84</v>
      </c>
      <c r="C64" s="6" t="s">
        <v>92</v>
      </c>
      <c r="D64" s="43" t="s">
        <v>233</v>
      </c>
      <c r="E64" s="35" t="s">
        <v>18</v>
      </c>
      <c r="F64" s="35" t="s">
        <v>62</v>
      </c>
      <c r="G64" s="35" t="s">
        <v>115</v>
      </c>
      <c r="H64" s="35">
        <v>103</v>
      </c>
      <c r="I64" s="33">
        <v>7107</v>
      </c>
      <c r="J64" s="37">
        <f t="shared" si="0"/>
        <v>49749</v>
      </c>
      <c r="K64" s="45" t="s">
        <v>292</v>
      </c>
    </row>
    <row r="65" spans="1:11" x14ac:dyDescent="0.3">
      <c r="A65" s="6" t="s">
        <v>77</v>
      </c>
      <c r="B65" s="4" t="s">
        <v>85</v>
      </c>
      <c r="C65" s="6" t="s">
        <v>92</v>
      </c>
      <c r="D65" s="16" t="s">
        <v>233</v>
      </c>
      <c r="E65" s="6" t="s">
        <v>18</v>
      </c>
      <c r="F65" s="6" t="s">
        <v>62</v>
      </c>
      <c r="G65" s="6" t="s">
        <v>69</v>
      </c>
      <c r="H65" s="6">
        <v>189</v>
      </c>
      <c r="I65" s="5">
        <v>13041</v>
      </c>
      <c r="J65" s="37">
        <f t="shared" si="0"/>
        <v>91287</v>
      </c>
      <c r="K65" s="46" t="s">
        <v>292</v>
      </c>
    </row>
    <row r="66" spans="1:11" x14ac:dyDescent="0.3">
      <c r="A66" s="35" t="s">
        <v>77</v>
      </c>
      <c r="B66" s="4" t="s">
        <v>89</v>
      </c>
      <c r="C66" s="6" t="s">
        <v>92</v>
      </c>
      <c r="D66" s="43" t="s">
        <v>233</v>
      </c>
      <c r="E66" s="35" t="s">
        <v>18</v>
      </c>
      <c r="F66" s="35" t="s">
        <v>62</v>
      </c>
      <c r="G66" s="35" t="s">
        <v>69</v>
      </c>
      <c r="H66" s="35">
        <v>199</v>
      </c>
      <c r="I66" s="33">
        <v>13731</v>
      </c>
      <c r="J66" s="37">
        <f t="shared" si="0"/>
        <v>96117</v>
      </c>
      <c r="K66" s="45" t="s">
        <v>292</v>
      </c>
    </row>
    <row r="67" spans="1:11" x14ac:dyDescent="0.3">
      <c r="A67" s="6" t="s">
        <v>77</v>
      </c>
      <c r="B67" s="4" t="s">
        <v>87</v>
      </c>
      <c r="C67" s="6" t="s">
        <v>92</v>
      </c>
      <c r="D67" s="16" t="s">
        <v>233</v>
      </c>
      <c r="E67" s="6" t="s">
        <v>18</v>
      </c>
      <c r="F67" s="6" t="s">
        <v>62</v>
      </c>
      <c r="G67" s="6" t="s">
        <v>69</v>
      </c>
      <c r="H67" s="6">
        <v>45</v>
      </c>
      <c r="I67" s="5">
        <v>3105</v>
      </c>
      <c r="J67" s="37">
        <f t="shared" ref="J67:J130" si="1">I67*7</f>
        <v>21735</v>
      </c>
      <c r="K67" s="46" t="s">
        <v>292</v>
      </c>
    </row>
    <row r="68" spans="1:11" x14ac:dyDescent="0.3">
      <c r="A68" s="35" t="s">
        <v>77</v>
      </c>
      <c r="B68" s="4" t="s">
        <v>88</v>
      </c>
      <c r="C68" s="6" t="s">
        <v>92</v>
      </c>
      <c r="D68" s="43" t="s">
        <v>233</v>
      </c>
      <c r="E68" s="35" t="s">
        <v>18</v>
      </c>
      <c r="F68" s="35" t="s">
        <v>62</v>
      </c>
      <c r="G68" s="35" t="s">
        <v>69</v>
      </c>
      <c r="H68" s="35">
        <v>85</v>
      </c>
      <c r="I68" s="33">
        <v>5865</v>
      </c>
      <c r="J68" s="37">
        <f t="shared" si="1"/>
        <v>41055</v>
      </c>
      <c r="K68" s="45" t="s">
        <v>292</v>
      </c>
    </row>
    <row r="69" spans="1:11" x14ac:dyDescent="0.3">
      <c r="A69" s="6" t="s">
        <v>77</v>
      </c>
      <c r="B69" s="4" t="s">
        <v>86</v>
      </c>
      <c r="C69" s="6" t="s">
        <v>92</v>
      </c>
      <c r="D69" s="16" t="s">
        <v>233</v>
      </c>
      <c r="E69" s="6" t="s">
        <v>18</v>
      </c>
      <c r="F69" s="6" t="s">
        <v>62</v>
      </c>
      <c r="G69" s="6" t="s">
        <v>69</v>
      </c>
      <c r="H69" s="6">
        <v>66</v>
      </c>
      <c r="I69" s="5">
        <v>4554</v>
      </c>
      <c r="J69" s="37">
        <f t="shared" si="1"/>
        <v>31878</v>
      </c>
      <c r="K69" s="46" t="s">
        <v>292</v>
      </c>
    </row>
    <row r="70" spans="1:11" x14ac:dyDescent="0.3">
      <c r="A70" s="35" t="s">
        <v>93</v>
      </c>
      <c r="B70" s="4" t="s">
        <v>73</v>
      </c>
      <c r="C70" s="6" t="s">
        <v>92</v>
      </c>
      <c r="D70" s="43" t="s">
        <v>233</v>
      </c>
      <c r="E70" s="35" t="s">
        <v>18</v>
      </c>
      <c r="F70" s="35" t="s">
        <v>64</v>
      </c>
      <c r="G70" s="35" t="s">
        <v>69</v>
      </c>
      <c r="H70" s="35">
        <v>91</v>
      </c>
      <c r="I70" s="33">
        <v>6279</v>
      </c>
      <c r="J70" s="37">
        <f t="shared" si="1"/>
        <v>43953</v>
      </c>
      <c r="K70" s="45" t="s">
        <v>292</v>
      </c>
    </row>
    <row r="71" spans="1:11" x14ac:dyDescent="0.3">
      <c r="A71" s="6" t="s">
        <v>93</v>
      </c>
      <c r="B71" s="4" t="s">
        <v>74</v>
      </c>
      <c r="C71" s="6" t="s">
        <v>92</v>
      </c>
      <c r="D71" s="16" t="s">
        <v>233</v>
      </c>
      <c r="E71" s="6" t="s">
        <v>18</v>
      </c>
      <c r="F71" s="6" t="s">
        <v>64</v>
      </c>
      <c r="G71" s="6" t="s">
        <v>67</v>
      </c>
      <c r="H71" s="6">
        <v>115</v>
      </c>
      <c r="I71" s="5">
        <v>7935</v>
      </c>
      <c r="J71" s="37">
        <f t="shared" si="1"/>
        <v>55545</v>
      </c>
      <c r="K71" s="46" t="s">
        <v>292</v>
      </c>
    </row>
    <row r="72" spans="1:11" x14ac:dyDescent="0.3">
      <c r="A72" s="35" t="s">
        <v>93</v>
      </c>
      <c r="B72" s="4" t="s">
        <v>94</v>
      </c>
      <c r="C72" s="6" t="s">
        <v>92</v>
      </c>
      <c r="D72" s="43" t="s">
        <v>9</v>
      </c>
      <c r="E72" s="35" t="s">
        <v>18</v>
      </c>
      <c r="F72" s="35" t="s">
        <v>64</v>
      </c>
      <c r="G72" s="35" t="s">
        <v>67</v>
      </c>
      <c r="H72" s="35">
        <v>165</v>
      </c>
      <c r="I72" s="33">
        <v>11385</v>
      </c>
      <c r="J72" s="37">
        <f t="shared" si="1"/>
        <v>79695</v>
      </c>
      <c r="K72" s="45" t="s">
        <v>292</v>
      </c>
    </row>
    <row r="73" spans="1:11" x14ac:dyDescent="0.3">
      <c r="A73" s="6" t="s">
        <v>93</v>
      </c>
      <c r="B73" s="4" t="s">
        <v>95</v>
      </c>
      <c r="C73" s="6" t="s">
        <v>92</v>
      </c>
      <c r="D73" s="16" t="s">
        <v>9</v>
      </c>
      <c r="E73" s="6" t="s">
        <v>18</v>
      </c>
      <c r="F73" s="6" t="s">
        <v>64</v>
      </c>
      <c r="G73" s="6" t="s">
        <v>67</v>
      </c>
      <c r="H73" s="6">
        <v>195</v>
      </c>
      <c r="I73" s="5">
        <v>13455</v>
      </c>
      <c r="J73" s="37">
        <f t="shared" si="1"/>
        <v>94185</v>
      </c>
      <c r="K73" s="46" t="s">
        <v>292</v>
      </c>
    </row>
    <row r="74" spans="1:11" x14ac:dyDescent="0.3">
      <c r="A74" s="35" t="s">
        <v>93</v>
      </c>
      <c r="B74" s="4" t="s">
        <v>96</v>
      </c>
      <c r="C74" s="6" t="s">
        <v>92</v>
      </c>
      <c r="D74" s="43" t="s">
        <v>9</v>
      </c>
      <c r="E74" s="35" t="s">
        <v>18</v>
      </c>
      <c r="F74" s="35" t="s">
        <v>64</v>
      </c>
      <c r="G74" s="35" t="s">
        <v>115</v>
      </c>
      <c r="H74" s="35">
        <v>157</v>
      </c>
      <c r="I74" s="33">
        <v>10833</v>
      </c>
      <c r="J74" s="37">
        <f t="shared" si="1"/>
        <v>75831</v>
      </c>
      <c r="K74" s="45" t="s">
        <v>292</v>
      </c>
    </row>
    <row r="75" spans="1:11" x14ac:dyDescent="0.3">
      <c r="A75" s="6" t="s">
        <v>93</v>
      </c>
      <c r="B75" s="4" t="s">
        <v>82</v>
      </c>
      <c r="C75" s="6" t="s">
        <v>92</v>
      </c>
      <c r="D75" s="16" t="s">
        <v>9</v>
      </c>
      <c r="E75" s="6" t="s">
        <v>18</v>
      </c>
      <c r="F75" s="6" t="s">
        <v>64</v>
      </c>
      <c r="G75" s="6" t="s">
        <v>115</v>
      </c>
      <c r="H75" s="6">
        <v>145</v>
      </c>
      <c r="I75" s="5">
        <v>10005</v>
      </c>
      <c r="J75" s="37">
        <f t="shared" si="1"/>
        <v>70035</v>
      </c>
      <c r="K75" s="17" t="s">
        <v>296</v>
      </c>
    </row>
    <row r="76" spans="1:11" x14ac:dyDescent="0.3">
      <c r="A76" s="35" t="s">
        <v>97</v>
      </c>
      <c r="B76" s="4" t="s">
        <v>98</v>
      </c>
      <c r="C76" s="6" t="s">
        <v>92</v>
      </c>
      <c r="D76" s="43" t="s">
        <v>112</v>
      </c>
      <c r="E76" s="35" t="s">
        <v>113</v>
      </c>
      <c r="F76" s="35" t="s">
        <v>64</v>
      </c>
      <c r="G76" s="35" t="s">
        <v>115</v>
      </c>
      <c r="H76" s="35">
        <v>162</v>
      </c>
      <c r="I76" s="33">
        <v>11178</v>
      </c>
      <c r="J76" s="37">
        <f t="shared" si="1"/>
        <v>78246</v>
      </c>
      <c r="K76" s="40" t="s">
        <v>296</v>
      </c>
    </row>
    <row r="77" spans="1:11" x14ac:dyDescent="0.3">
      <c r="A77" s="6" t="s">
        <v>97</v>
      </c>
      <c r="B77" s="4" t="s">
        <v>74</v>
      </c>
      <c r="C77" s="6" t="s">
        <v>92</v>
      </c>
      <c r="D77" s="16" t="s">
        <v>112</v>
      </c>
      <c r="E77" s="6" t="s">
        <v>113</v>
      </c>
      <c r="F77" s="6" t="s">
        <v>64</v>
      </c>
      <c r="G77" s="6" t="s">
        <v>115</v>
      </c>
      <c r="H77" s="6">
        <v>135</v>
      </c>
      <c r="I77" s="5">
        <v>9315</v>
      </c>
      <c r="J77" s="37">
        <f t="shared" si="1"/>
        <v>65205</v>
      </c>
      <c r="K77" s="17" t="s">
        <v>296</v>
      </c>
    </row>
    <row r="78" spans="1:11" x14ac:dyDescent="0.3">
      <c r="A78" s="35" t="s">
        <v>97</v>
      </c>
      <c r="B78" s="4" t="s">
        <v>73</v>
      </c>
      <c r="C78" s="6" t="s">
        <v>92</v>
      </c>
      <c r="D78" s="43" t="s">
        <v>112</v>
      </c>
      <c r="E78" s="35" t="s">
        <v>113</v>
      </c>
      <c r="F78" s="35" t="s">
        <v>64</v>
      </c>
      <c r="G78" s="35" t="s">
        <v>115</v>
      </c>
      <c r="H78" s="35">
        <v>188</v>
      </c>
      <c r="I78" s="33">
        <v>12972</v>
      </c>
      <c r="J78" s="37">
        <f t="shared" si="1"/>
        <v>90804</v>
      </c>
      <c r="K78" s="40" t="s">
        <v>296</v>
      </c>
    </row>
    <row r="79" spans="1:11" x14ac:dyDescent="0.3">
      <c r="A79" s="6" t="s">
        <v>97</v>
      </c>
      <c r="B79" s="4" t="s">
        <v>76</v>
      </c>
      <c r="C79" s="6" t="s">
        <v>92</v>
      </c>
      <c r="D79" s="16" t="s">
        <v>9</v>
      </c>
      <c r="E79" s="6" t="s">
        <v>113</v>
      </c>
      <c r="F79" s="6" t="s">
        <v>64</v>
      </c>
      <c r="G79" s="6" t="s">
        <v>115</v>
      </c>
      <c r="H79" s="6">
        <v>89</v>
      </c>
      <c r="I79" s="5">
        <v>6141</v>
      </c>
      <c r="J79" s="37">
        <f t="shared" si="1"/>
        <v>42987</v>
      </c>
      <c r="K79" s="17" t="s">
        <v>296</v>
      </c>
    </row>
    <row r="80" spans="1:11" x14ac:dyDescent="0.3">
      <c r="A80" s="35" t="s">
        <v>97</v>
      </c>
      <c r="B80" s="4" t="s">
        <v>99</v>
      </c>
      <c r="C80" s="6" t="s">
        <v>92</v>
      </c>
      <c r="D80" s="43" t="s">
        <v>9</v>
      </c>
      <c r="E80" s="35" t="s">
        <v>113</v>
      </c>
      <c r="F80" s="35" t="s">
        <v>64</v>
      </c>
      <c r="G80" s="35" t="s">
        <v>67</v>
      </c>
      <c r="H80" s="35">
        <v>48</v>
      </c>
      <c r="I80" s="33">
        <v>3312</v>
      </c>
      <c r="J80" s="37">
        <f t="shared" si="1"/>
        <v>23184</v>
      </c>
      <c r="K80" s="40" t="s">
        <v>296</v>
      </c>
    </row>
    <row r="81" spans="1:11" x14ac:dyDescent="0.3">
      <c r="A81" s="6" t="s">
        <v>97</v>
      </c>
      <c r="B81" s="4" t="s">
        <v>85</v>
      </c>
      <c r="C81" s="6" t="s">
        <v>92</v>
      </c>
      <c r="D81" s="16" t="s">
        <v>9</v>
      </c>
      <c r="E81" s="6" t="s">
        <v>113</v>
      </c>
      <c r="F81" s="6" t="s">
        <v>64</v>
      </c>
      <c r="G81" s="6" t="s">
        <v>67</v>
      </c>
      <c r="H81" s="6">
        <v>65</v>
      </c>
      <c r="I81" s="5">
        <v>4457</v>
      </c>
      <c r="J81" s="37">
        <f t="shared" si="1"/>
        <v>31199</v>
      </c>
      <c r="K81" s="17" t="s">
        <v>296</v>
      </c>
    </row>
    <row r="82" spans="1:11" x14ac:dyDescent="0.3">
      <c r="A82" s="35" t="s">
        <v>100</v>
      </c>
      <c r="B82" s="4" t="s">
        <v>73</v>
      </c>
      <c r="C82" s="6" t="s">
        <v>92</v>
      </c>
      <c r="D82" s="43" t="s">
        <v>9</v>
      </c>
      <c r="E82" s="35" t="s">
        <v>113</v>
      </c>
      <c r="F82" s="35" t="s">
        <v>64</v>
      </c>
      <c r="G82" s="35" t="s">
        <v>67</v>
      </c>
      <c r="H82" s="35">
        <v>75</v>
      </c>
      <c r="I82" s="33">
        <v>5969</v>
      </c>
      <c r="J82" s="37">
        <f t="shared" si="1"/>
        <v>41783</v>
      </c>
      <c r="K82" s="40" t="s">
        <v>296</v>
      </c>
    </row>
    <row r="83" spans="1:11" x14ac:dyDescent="0.3">
      <c r="A83" s="6" t="s">
        <v>100</v>
      </c>
      <c r="B83" s="4" t="s">
        <v>75</v>
      </c>
      <c r="C83" s="6" t="s">
        <v>92</v>
      </c>
      <c r="D83" s="16" t="s">
        <v>9</v>
      </c>
      <c r="E83" s="6" t="s">
        <v>113</v>
      </c>
      <c r="F83" s="6" t="s">
        <v>62</v>
      </c>
      <c r="G83" s="6" t="s">
        <v>67</v>
      </c>
      <c r="H83" s="6">
        <v>45</v>
      </c>
      <c r="I83" s="5">
        <v>3514</v>
      </c>
      <c r="J83" s="37">
        <f t="shared" si="1"/>
        <v>24598</v>
      </c>
      <c r="K83" s="17" t="s">
        <v>296</v>
      </c>
    </row>
    <row r="84" spans="1:11" x14ac:dyDescent="0.3">
      <c r="A84" s="35" t="s">
        <v>101</v>
      </c>
      <c r="B84" s="4" t="s">
        <v>74</v>
      </c>
      <c r="C84" s="6" t="s">
        <v>92</v>
      </c>
      <c r="D84" s="43" t="s">
        <v>9</v>
      </c>
      <c r="E84" s="35" t="s">
        <v>113</v>
      </c>
      <c r="F84" s="35" t="s">
        <v>62</v>
      </c>
      <c r="G84" s="35" t="s">
        <v>67</v>
      </c>
      <c r="H84" s="35">
        <v>152</v>
      </c>
      <c r="I84" s="33">
        <v>11452</v>
      </c>
      <c r="J84" s="37">
        <f t="shared" si="1"/>
        <v>80164</v>
      </c>
      <c r="K84" s="40" t="s">
        <v>296</v>
      </c>
    </row>
    <row r="85" spans="1:11" x14ac:dyDescent="0.3">
      <c r="A85" s="6" t="s">
        <v>101</v>
      </c>
      <c r="B85" s="4" t="s">
        <v>76</v>
      </c>
      <c r="C85" s="6" t="s">
        <v>92</v>
      </c>
      <c r="D85" s="16" t="s">
        <v>110</v>
      </c>
      <c r="E85" s="6" t="s">
        <v>113</v>
      </c>
      <c r="F85" s="6" t="s">
        <v>62</v>
      </c>
      <c r="G85" s="6" t="s">
        <v>67</v>
      </c>
      <c r="H85" s="6">
        <v>195</v>
      </c>
      <c r="I85" s="5">
        <v>15622</v>
      </c>
      <c r="J85" s="37">
        <f t="shared" si="1"/>
        <v>109354</v>
      </c>
      <c r="K85" s="17" t="s">
        <v>296</v>
      </c>
    </row>
    <row r="86" spans="1:11" x14ac:dyDescent="0.3">
      <c r="A86" s="35" t="s">
        <v>102</v>
      </c>
      <c r="B86" s="4" t="s">
        <v>80</v>
      </c>
      <c r="C86" s="6" t="s">
        <v>92</v>
      </c>
      <c r="D86" s="43" t="s">
        <v>110</v>
      </c>
      <c r="E86" s="35" t="s">
        <v>113</v>
      </c>
      <c r="F86" s="35" t="s">
        <v>62</v>
      </c>
      <c r="G86" s="35" t="s">
        <v>67</v>
      </c>
      <c r="H86" s="35">
        <v>75</v>
      </c>
      <c r="I86" s="33">
        <v>8900</v>
      </c>
      <c r="J86" s="37">
        <f t="shared" si="1"/>
        <v>62300</v>
      </c>
      <c r="K86" s="40" t="s">
        <v>296</v>
      </c>
    </row>
    <row r="87" spans="1:11" x14ac:dyDescent="0.3">
      <c r="A87" s="6" t="s">
        <v>102</v>
      </c>
      <c r="B87" s="4" t="s">
        <v>81</v>
      </c>
      <c r="C87" s="6" t="s">
        <v>92</v>
      </c>
      <c r="D87" s="16" t="s">
        <v>110</v>
      </c>
      <c r="E87" s="6" t="s">
        <v>113</v>
      </c>
      <c r="F87" s="6" t="s">
        <v>62</v>
      </c>
      <c r="G87" s="6" t="s">
        <v>67</v>
      </c>
      <c r="H87" s="6">
        <v>48</v>
      </c>
      <c r="I87" s="5">
        <v>3314</v>
      </c>
      <c r="J87" s="37">
        <f t="shared" si="1"/>
        <v>23198</v>
      </c>
      <c r="K87" s="17" t="s">
        <v>296</v>
      </c>
    </row>
    <row r="88" spans="1:11" x14ac:dyDescent="0.3">
      <c r="A88" s="35" t="s">
        <v>102</v>
      </c>
      <c r="B88" s="4" t="s">
        <v>103</v>
      </c>
      <c r="C88" s="6" t="s">
        <v>92</v>
      </c>
      <c r="D88" s="43" t="s">
        <v>110</v>
      </c>
      <c r="E88" s="35" t="s">
        <v>113</v>
      </c>
      <c r="F88" s="35" t="s">
        <v>62</v>
      </c>
      <c r="G88" s="35" t="s">
        <v>67</v>
      </c>
      <c r="H88" s="35">
        <v>155</v>
      </c>
      <c r="I88" s="33">
        <v>11822</v>
      </c>
      <c r="J88" s="37">
        <f t="shared" si="1"/>
        <v>82754</v>
      </c>
      <c r="K88" s="40" t="s">
        <v>296</v>
      </c>
    </row>
    <row r="89" spans="1:11" x14ac:dyDescent="0.3">
      <c r="A89" s="6" t="s">
        <v>102</v>
      </c>
      <c r="B89" s="4" t="s">
        <v>104</v>
      </c>
      <c r="C89" s="6" t="s">
        <v>92</v>
      </c>
      <c r="D89" s="16" t="s">
        <v>111</v>
      </c>
      <c r="E89" s="6" t="s">
        <v>113</v>
      </c>
      <c r="F89" s="6" t="s">
        <v>62</v>
      </c>
      <c r="G89" s="6" t="s">
        <v>67</v>
      </c>
      <c r="H89" s="6">
        <v>164</v>
      </c>
      <c r="I89" s="5">
        <v>11200</v>
      </c>
      <c r="J89" s="37">
        <f t="shared" si="1"/>
        <v>78400</v>
      </c>
      <c r="K89" s="17" t="s">
        <v>296</v>
      </c>
    </row>
    <row r="90" spans="1:11" x14ac:dyDescent="0.3">
      <c r="A90" s="35" t="s">
        <v>102</v>
      </c>
      <c r="B90" s="4" t="s">
        <v>105</v>
      </c>
      <c r="C90" s="6" t="s">
        <v>92</v>
      </c>
      <c r="D90" s="43" t="s">
        <v>111</v>
      </c>
      <c r="E90" s="35" t="s">
        <v>113</v>
      </c>
      <c r="F90" s="35" t="s">
        <v>62</v>
      </c>
      <c r="G90" s="35" t="s">
        <v>67</v>
      </c>
      <c r="H90" s="35">
        <v>56</v>
      </c>
      <c r="I90" s="33">
        <v>4560</v>
      </c>
      <c r="J90" s="37">
        <f t="shared" si="1"/>
        <v>31920</v>
      </c>
      <c r="K90" s="40" t="s">
        <v>295</v>
      </c>
    </row>
    <row r="91" spans="1:11" x14ac:dyDescent="0.3">
      <c r="A91" s="6" t="s">
        <v>102</v>
      </c>
      <c r="B91" s="4" t="s">
        <v>83</v>
      </c>
      <c r="C91" s="6" t="s">
        <v>92</v>
      </c>
      <c r="D91" s="16" t="s">
        <v>111</v>
      </c>
      <c r="E91" s="6" t="s">
        <v>114</v>
      </c>
      <c r="F91" s="6" t="s">
        <v>62</v>
      </c>
      <c r="G91" s="6" t="s">
        <v>67</v>
      </c>
      <c r="H91" s="6">
        <v>99</v>
      </c>
      <c r="I91" s="5">
        <v>9450</v>
      </c>
      <c r="J91" s="37">
        <f t="shared" si="1"/>
        <v>66150</v>
      </c>
      <c r="K91" s="17" t="s">
        <v>295</v>
      </c>
    </row>
    <row r="92" spans="1:11" x14ac:dyDescent="0.3">
      <c r="A92" s="35" t="s">
        <v>102</v>
      </c>
      <c r="B92" s="4" t="s">
        <v>106</v>
      </c>
      <c r="C92" s="6" t="s">
        <v>92</v>
      </c>
      <c r="D92" s="43" t="s">
        <v>111</v>
      </c>
      <c r="E92" s="35" t="s">
        <v>114</v>
      </c>
      <c r="F92" s="35" t="s">
        <v>62</v>
      </c>
      <c r="G92" s="35" t="s">
        <v>67</v>
      </c>
      <c r="H92" s="35">
        <v>193</v>
      </c>
      <c r="I92" s="33">
        <v>14025</v>
      </c>
      <c r="J92" s="37">
        <f t="shared" si="1"/>
        <v>98175</v>
      </c>
      <c r="K92" s="40" t="s">
        <v>295</v>
      </c>
    </row>
    <row r="93" spans="1:11" x14ac:dyDescent="0.3">
      <c r="A93" s="6" t="s">
        <v>102</v>
      </c>
      <c r="B93" s="4" t="s">
        <v>85</v>
      </c>
      <c r="C93" s="6" t="s">
        <v>92</v>
      </c>
      <c r="D93" s="16" t="s">
        <v>9</v>
      </c>
      <c r="E93" s="6" t="s">
        <v>114</v>
      </c>
      <c r="F93" s="6" t="s">
        <v>62</v>
      </c>
      <c r="G93" s="6" t="s">
        <v>67</v>
      </c>
      <c r="H93" s="6">
        <v>98</v>
      </c>
      <c r="I93" s="5">
        <v>11200</v>
      </c>
      <c r="J93" s="37">
        <f t="shared" si="1"/>
        <v>78400</v>
      </c>
      <c r="K93" s="17" t="s">
        <v>295</v>
      </c>
    </row>
    <row r="94" spans="1:11" x14ac:dyDescent="0.3">
      <c r="A94" s="35" t="s">
        <v>107</v>
      </c>
      <c r="B94" s="4" t="s">
        <v>108</v>
      </c>
      <c r="C94" s="6" t="s">
        <v>92</v>
      </c>
      <c r="D94" s="43" t="s">
        <v>9</v>
      </c>
      <c r="E94" s="35" t="s">
        <v>114</v>
      </c>
      <c r="F94" s="35" t="s">
        <v>62</v>
      </c>
      <c r="G94" s="35" t="s">
        <v>67</v>
      </c>
      <c r="H94" s="35">
        <v>78</v>
      </c>
      <c r="I94" s="33">
        <v>8945</v>
      </c>
      <c r="J94" s="37">
        <f t="shared" si="1"/>
        <v>62615</v>
      </c>
      <c r="K94" s="40" t="s">
        <v>295</v>
      </c>
    </row>
    <row r="95" spans="1:11" x14ac:dyDescent="0.3">
      <c r="A95" s="6" t="s">
        <v>107</v>
      </c>
      <c r="B95" s="4" t="s">
        <v>109</v>
      </c>
      <c r="C95" s="6" t="s">
        <v>92</v>
      </c>
      <c r="D95" s="16" t="s">
        <v>9</v>
      </c>
      <c r="E95" s="6" t="s">
        <v>114</v>
      </c>
      <c r="F95" s="6" t="s">
        <v>62</v>
      </c>
      <c r="G95" s="6" t="s">
        <v>67</v>
      </c>
      <c r="H95" s="6">
        <v>115</v>
      </c>
      <c r="I95" s="5">
        <v>11780</v>
      </c>
      <c r="J95" s="37">
        <f t="shared" si="1"/>
        <v>82460</v>
      </c>
      <c r="K95" s="17" t="s">
        <v>295</v>
      </c>
    </row>
    <row r="96" spans="1:11" x14ac:dyDescent="0.3">
      <c r="A96" s="35" t="s">
        <v>107</v>
      </c>
      <c r="B96" s="9" t="s">
        <v>106</v>
      </c>
      <c r="C96" s="11" t="s">
        <v>92</v>
      </c>
      <c r="D96" s="43" t="s">
        <v>9</v>
      </c>
      <c r="E96" s="35" t="s">
        <v>114</v>
      </c>
      <c r="F96" s="35" t="s">
        <v>62</v>
      </c>
      <c r="G96" s="35" t="s">
        <v>67</v>
      </c>
      <c r="H96" s="35">
        <v>67</v>
      </c>
      <c r="I96" s="33">
        <v>4600</v>
      </c>
      <c r="J96" s="37">
        <f t="shared" si="1"/>
        <v>32200</v>
      </c>
      <c r="K96" s="40" t="s">
        <v>295</v>
      </c>
    </row>
    <row r="97" spans="1:11" x14ac:dyDescent="0.3">
      <c r="A97" s="35" t="s">
        <v>117</v>
      </c>
      <c r="B97" s="4" t="s">
        <v>109</v>
      </c>
      <c r="C97" s="6" t="s">
        <v>175</v>
      </c>
      <c r="D97" s="43" t="s">
        <v>176</v>
      </c>
      <c r="E97" s="35" t="s">
        <v>18</v>
      </c>
      <c r="F97" s="35" t="s">
        <v>62</v>
      </c>
      <c r="G97" s="35" t="s">
        <v>12</v>
      </c>
      <c r="H97" s="35">
        <v>45</v>
      </c>
      <c r="I97" s="35">
        <v>2700</v>
      </c>
      <c r="J97" s="37">
        <f t="shared" si="1"/>
        <v>18900</v>
      </c>
      <c r="K97" s="45" t="s">
        <v>297</v>
      </c>
    </row>
    <row r="98" spans="1:11" x14ac:dyDescent="0.3">
      <c r="A98" s="19" t="s">
        <v>118</v>
      </c>
      <c r="B98" s="4" t="s">
        <v>103</v>
      </c>
      <c r="C98" s="6" t="s">
        <v>175</v>
      </c>
      <c r="D98" s="16" t="s">
        <v>176</v>
      </c>
      <c r="E98" s="6" t="s">
        <v>18</v>
      </c>
      <c r="F98" s="6" t="s">
        <v>62</v>
      </c>
      <c r="G98" s="6" t="s">
        <v>12</v>
      </c>
      <c r="H98" s="6">
        <v>25</v>
      </c>
      <c r="I98" s="6">
        <v>1500</v>
      </c>
      <c r="J98" s="37">
        <f t="shared" si="1"/>
        <v>10500</v>
      </c>
      <c r="K98" s="46" t="s">
        <v>297</v>
      </c>
    </row>
    <row r="99" spans="1:11" x14ac:dyDescent="0.3">
      <c r="A99" s="41" t="s">
        <v>119</v>
      </c>
      <c r="B99" s="4" t="s">
        <v>82</v>
      </c>
      <c r="C99" s="6" t="s">
        <v>175</v>
      </c>
      <c r="D99" s="43" t="s">
        <v>176</v>
      </c>
      <c r="E99" s="35" t="s">
        <v>18</v>
      </c>
      <c r="F99" s="35" t="s">
        <v>62</v>
      </c>
      <c r="G99" s="35" t="s">
        <v>12</v>
      </c>
      <c r="H99" s="35">
        <v>89</v>
      </c>
      <c r="I99" s="35">
        <v>5340</v>
      </c>
      <c r="J99" s="37">
        <f t="shared" si="1"/>
        <v>37380</v>
      </c>
      <c r="K99" s="45" t="s">
        <v>297</v>
      </c>
    </row>
    <row r="100" spans="1:11" x14ac:dyDescent="0.3">
      <c r="A100" s="19" t="s">
        <v>120</v>
      </c>
      <c r="B100" s="4" t="s">
        <v>109</v>
      </c>
      <c r="C100" s="6" t="s">
        <v>175</v>
      </c>
      <c r="D100" s="16" t="s">
        <v>176</v>
      </c>
      <c r="E100" s="6" t="s">
        <v>18</v>
      </c>
      <c r="F100" s="6" t="s">
        <v>62</v>
      </c>
      <c r="G100" s="6" t="s">
        <v>12</v>
      </c>
      <c r="H100" s="6">
        <v>45</v>
      </c>
      <c r="I100" s="6">
        <v>2700</v>
      </c>
      <c r="J100" s="37">
        <f t="shared" si="1"/>
        <v>18900</v>
      </c>
      <c r="K100" s="46" t="s">
        <v>297</v>
      </c>
    </row>
    <row r="101" spans="1:11" x14ac:dyDescent="0.3">
      <c r="A101" s="41" t="s">
        <v>121</v>
      </c>
      <c r="B101" s="4" t="s">
        <v>106</v>
      </c>
      <c r="C101" s="6" t="s">
        <v>175</v>
      </c>
      <c r="D101" s="43" t="s">
        <v>176</v>
      </c>
      <c r="E101" s="35" t="s">
        <v>18</v>
      </c>
      <c r="F101" s="35" t="s">
        <v>62</v>
      </c>
      <c r="G101" s="35" t="s">
        <v>12</v>
      </c>
      <c r="H101" s="35">
        <v>75</v>
      </c>
      <c r="I101" s="35">
        <v>4500</v>
      </c>
      <c r="J101" s="37">
        <f t="shared" si="1"/>
        <v>31500</v>
      </c>
      <c r="K101" s="45" t="s">
        <v>297</v>
      </c>
    </row>
    <row r="102" spans="1:11" x14ac:dyDescent="0.3">
      <c r="A102" s="19" t="s">
        <v>122</v>
      </c>
      <c r="B102" s="4" t="s">
        <v>82</v>
      </c>
      <c r="C102" s="6" t="s">
        <v>175</v>
      </c>
      <c r="D102" s="16" t="s">
        <v>176</v>
      </c>
      <c r="E102" s="6" t="s">
        <v>18</v>
      </c>
      <c r="F102" s="6" t="s">
        <v>62</v>
      </c>
      <c r="G102" s="6" t="s">
        <v>12</v>
      </c>
      <c r="H102" s="6">
        <v>56</v>
      </c>
      <c r="I102" s="6">
        <v>3360</v>
      </c>
      <c r="J102" s="37">
        <f t="shared" si="1"/>
        <v>23520</v>
      </c>
      <c r="K102" s="46" t="s">
        <v>297</v>
      </c>
    </row>
    <row r="103" spans="1:11" x14ac:dyDescent="0.3">
      <c r="A103" s="41" t="s">
        <v>123</v>
      </c>
      <c r="B103" s="4" t="s">
        <v>165</v>
      </c>
      <c r="C103" s="6" t="s">
        <v>175</v>
      </c>
      <c r="D103" s="43" t="s">
        <v>176</v>
      </c>
      <c r="E103" s="35" t="s">
        <v>18</v>
      </c>
      <c r="F103" s="35" t="s">
        <v>62</v>
      </c>
      <c r="G103" s="35" t="s">
        <v>12</v>
      </c>
      <c r="H103" s="35">
        <v>15</v>
      </c>
      <c r="I103" s="35">
        <v>900</v>
      </c>
      <c r="J103" s="37">
        <f t="shared" si="1"/>
        <v>6300</v>
      </c>
      <c r="K103" s="45" t="s">
        <v>297</v>
      </c>
    </row>
    <row r="104" spans="1:11" x14ac:dyDescent="0.3">
      <c r="A104" s="19" t="s">
        <v>124</v>
      </c>
      <c r="B104" s="4" t="s">
        <v>81</v>
      </c>
      <c r="C104" s="6" t="s">
        <v>175</v>
      </c>
      <c r="D104" s="16" t="s">
        <v>178</v>
      </c>
      <c r="E104" s="6" t="s">
        <v>18</v>
      </c>
      <c r="F104" s="6" t="s">
        <v>62</v>
      </c>
      <c r="G104" s="6" t="s">
        <v>12</v>
      </c>
      <c r="H104" s="6">
        <v>89</v>
      </c>
      <c r="I104" s="6">
        <v>5340</v>
      </c>
      <c r="J104" s="37">
        <f t="shared" si="1"/>
        <v>37380</v>
      </c>
      <c r="K104" s="46" t="s">
        <v>297</v>
      </c>
    </row>
    <row r="105" spans="1:11" x14ac:dyDescent="0.3">
      <c r="A105" s="41" t="s">
        <v>125</v>
      </c>
      <c r="B105" s="4" t="s">
        <v>82</v>
      </c>
      <c r="C105" s="6" t="s">
        <v>175</v>
      </c>
      <c r="D105" s="43" t="s">
        <v>178</v>
      </c>
      <c r="E105" s="35" t="s">
        <v>18</v>
      </c>
      <c r="F105" s="35" t="s">
        <v>62</v>
      </c>
      <c r="G105" s="35" t="s">
        <v>12</v>
      </c>
      <c r="H105" s="35">
        <v>45</v>
      </c>
      <c r="I105" s="35">
        <v>2700</v>
      </c>
      <c r="J105" s="37">
        <f t="shared" si="1"/>
        <v>18900</v>
      </c>
      <c r="K105" s="45" t="s">
        <v>297</v>
      </c>
    </row>
    <row r="106" spans="1:11" x14ac:dyDescent="0.3">
      <c r="A106" s="19" t="s">
        <v>126</v>
      </c>
      <c r="B106" s="4" t="s">
        <v>166</v>
      </c>
      <c r="C106" s="6" t="s">
        <v>175</v>
      </c>
      <c r="D106" s="16" t="s">
        <v>178</v>
      </c>
      <c r="E106" s="6" t="s">
        <v>18</v>
      </c>
      <c r="F106" s="6" t="s">
        <v>62</v>
      </c>
      <c r="G106" s="6" t="s">
        <v>12</v>
      </c>
      <c r="H106" s="6">
        <v>63</v>
      </c>
      <c r="I106" s="6">
        <v>3780</v>
      </c>
      <c r="J106" s="37">
        <f t="shared" si="1"/>
        <v>26460</v>
      </c>
      <c r="K106" s="46" t="s">
        <v>297</v>
      </c>
    </row>
    <row r="107" spans="1:11" x14ac:dyDescent="0.3">
      <c r="A107" s="41" t="s">
        <v>127</v>
      </c>
      <c r="B107" s="4" t="s">
        <v>103</v>
      </c>
      <c r="C107" s="6" t="s">
        <v>175</v>
      </c>
      <c r="D107" s="43" t="s">
        <v>178</v>
      </c>
      <c r="E107" s="35" t="s">
        <v>18</v>
      </c>
      <c r="F107" s="35" t="s">
        <v>62</v>
      </c>
      <c r="G107" s="35" t="s">
        <v>12</v>
      </c>
      <c r="H107" s="35">
        <v>55</v>
      </c>
      <c r="I107" s="35">
        <v>3300</v>
      </c>
      <c r="J107" s="37">
        <f t="shared" si="1"/>
        <v>23100</v>
      </c>
      <c r="K107" s="45" t="s">
        <v>297</v>
      </c>
    </row>
    <row r="108" spans="1:11" x14ac:dyDescent="0.3">
      <c r="A108" s="19" t="s">
        <v>128</v>
      </c>
      <c r="B108" s="4" t="s">
        <v>78</v>
      </c>
      <c r="C108" s="6" t="s">
        <v>175</v>
      </c>
      <c r="D108" s="16" t="s">
        <v>178</v>
      </c>
      <c r="E108" s="6" t="s">
        <v>18</v>
      </c>
      <c r="F108" s="6" t="s">
        <v>62</v>
      </c>
      <c r="G108" s="6" t="s">
        <v>12</v>
      </c>
      <c r="H108" s="6">
        <v>88</v>
      </c>
      <c r="I108" s="6">
        <v>5280</v>
      </c>
      <c r="J108" s="37">
        <f t="shared" si="1"/>
        <v>36960</v>
      </c>
      <c r="K108" s="46" t="s">
        <v>297</v>
      </c>
    </row>
    <row r="109" spans="1:11" x14ac:dyDescent="0.3">
      <c r="A109" s="41" t="s">
        <v>129</v>
      </c>
      <c r="B109" s="4" t="s">
        <v>82</v>
      </c>
      <c r="C109" s="6" t="s">
        <v>175</v>
      </c>
      <c r="D109" s="43" t="s">
        <v>178</v>
      </c>
      <c r="E109" s="35" t="s">
        <v>18</v>
      </c>
      <c r="F109" s="35" t="s">
        <v>62</v>
      </c>
      <c r="G109" s="35" t="s">
        <v>12</v>
      </c>
      <c r="H109" s="35">
        <v>89</v>
      </c>
      <c r="I109" s="35">
        <v>5340</v>
      </c>
      <c r="J109" s="37">
        <f t="shared" si="1"/>
        <v>37380</v>
      </c>
      <c r="K109" s="45" t="s">
        <v>297</v>
      </c>
    </row>
    <row r="110" spans="1:11" x14ac:dyDescent="0.3">
      <c r="A110" s="19" t="s">
        <v>130</v>
      </c>
      <c r="B110" s="4" t="s">
        <v>109</v>
      </c>
      <c r="C110" s="6" t="s">
        <v>175</v>
      </c>
      <c r="D110" s="16" t="s">
        <v>178</v>
      </c>
      <c r="E110" s="6" t="s">
        <v>18</v>
      </c>
      <c r="F110" s="6" t="s">
        <v>62</v>
      </c>
      <c r="G110" s="6" t="s">
        <v>12</v>
      </c>
      <c r="H110" s="6">
        <v>43</v>
      </c>
      <c r="I110" s="6">
        <v>2580</v>
      </c>
      <c r="J110" s="37">
        <f t="shared" si="1"/>
        <v>18060</v>
      </c>
      <c r="K110" s="46" t="s">
        <v>297</v>
      </c>
    </row>
    <row r="111" spans="1:11" x14ac:dyDescent="0.3">
      <c r="A111" s="41" t="s">
        <v>131</v>
      </c>
      <c r="B111" s="4" t="s">
        <v>103</v>
      </c>
      <c r="C111" s="6" t="s">
        <v>175</v>
      </c>
      <c r="D111" s="43" t="s">
        <v>176</v>
      </c>
      <c r="E111" s="35" t="s">
        <v>18</v>
      </c>
      <c r="F111" s="35" t="s">
        <v>62</v>
      </c>
      <c r="G111" s="35" t="s">
        <v>12</v>
      </c>
      <c r="H111" s="35">
        <v>31</v>
      </c>
      <c r="I111" s="35">
        <v>1860</v>
      </c>
      <c r="J111" s="37">
        <f t="shared" si="1"/>
        <v>13020</v>
      </c>
      <c r="K111" s="45" t="s">
        <v>297</v>
      </c>
    </row>
    <row r="112" spans="1:11" x14ac:dyDescent="0.3">
      <c r="A112" s="19" t="s">
        <v>132</v>
      </c>
      <c r="B112" s="4" t="s">
        <v>104</v>
      </c>
      <c r="C112" s="6" t="s">
        <v>175</v>
      </c>
      <c r="D112" s="16" t="s">
        <v>176</v>
      </c>
      <c r="E112" s="6" t="s">
        <v>111</v>
      </c>
      <c r="F112" s="6" t="s">
        <v>62</v>
      </c>
      <c r="G112" s="6" t="s">
        <v>12</v>
      </c>
      <c r="H112" s="6">
        <v>56</v>
      </c>
      <c r="I112" s="6">
        <v>3360</v>
      </c>
      <c r="J112" s="37">
        <f t="shared" si="1"/>
        <v>23520</v>
      </c>
      <c r="K112" s="46" t="s">
        <v>297</v>
      </c>
    </row>
    <row r="113" spans="1:11" x14ac:dyDescent="0.3">
      <c r="A113" s="41" t="s">
        <v>133</v>
      </c>
      <c r="B113" s="4" t="s">
        <v>167</v>
      </c>
      <c r="C113" s="6" t="s">
        <v>175</v>
      </c>
      <c r="D113" s="43" t="s">
        <v>176</v>
      </c>
      <c r="E113" s="35" t="s">
        <v>111</v>
      </c>
      <c r="F113" s="35" t="s">
        <v>62</v>
      </c>
      <c r="G113" s="35" t="s">
        <v>12</v>
      </c>
      <c r="H113" s="35">
        <v>77</v>
      </c>
      <c r="I113" s="35">
        <v>4620</v>
      </c>
      <c r="J113" s="37">
        <f t="shared" si="1"/>
        <v>32340</v>
      </c>
      <c r="K113" s="40" t="s">
        <v>292</v>
      </c>
    </row>
    <row r="114" spans="1:11" x14ac:dyDescent="0.3">
      <c r="A114" s="19" t="s">
        <v>134</v>
      </c>
      <c r="B114" s="4" t="s">
        <v>168</v>
      </c>
      <c r="C114" s="6" t="s">
        <v>175</v>
      </c>
      <c r="D114" s="16" t="s">
        <v>176</v>
      </c>
      <c r="E114" s="6" t="s">
        <v>111</v>
      </c>
      <c r="F114" s="6" t="s">
        <v>67</v>
      </c>
      <c r="G114" s="6" t="s">
        <v>69</v>
      </c>
      <c r="H114" s="6">
        <v>66</v>
      </c>
      <c r="I114" s="6">
        <v>3960</v>
      </c>
      <c r="J114" s="37">
        <f t="shared" si="1"/>
        <v>27720</v>
      </c>
      <c r="K114" s="17" t="s">
        <v>292</v>
      </c>
    </row>
    <row r="115" spans="1:11" x14ac:dyDescent="0.3">
      <c r="A115" s="41" t="s">
        <v>135</v>
      </c>
      <c r="B115" s="4" t="s">
        <v>167</v>
      </c>
      <c r="C115" s="6" t="s">
        <v>175</v>
      </c>
      <c r="D115" s="43" t="s">
        <v>176</v>
      </c>
      <c r="E115" s="35" t="s">
        <v>111</v>
      </c>
      <c r="F115" s="35" t="s">
        <v>67</v>
      </c>
      <c r="G115" s="35" t="s">
        <v>69</v>
      </c>
      <c r="H115" s="35">
        <v>58</v>
      </c>
      <c r="I115" s="35">
        <v>3480</v>
      </c>
      <c r="J115" s="37">
        <f t="shared" si="1"/>
        <v>24360</v>
      </c>
      <c r="K115" s="40" t="s">
        <v>292</v>
      </c>
    </row>
    <row r="116" spans="1:11" x14ac:dyDescent="0.3">
      <c r="A116" s="19" t="s">
        <v>136</v>
      </c>
      <c r="B116" s="4" t="s">
        <v>80</v>
      </c>
      <c r="C116" s="6" t="s">
        <v>175</v>
      </c>
      <c r="D116" s="16" t="s">
        <v>176</v>
      </c>
      <c r="E116" s="6" t="s">
        <v>111</v>
      </c>
      <c r="F116" s="6" t="s">
        <v>67</v>
      </c>
      <c r="G116" s="6" t="s">
        <v>69</v>
      </c>
      <c r="H116" s="6">
        <v>94</v>
      </c>
      <c r="I116" s="6">
        <v>5640</v>
      </c>
      <c r="J116" s="37">
        <f t="shared" si="1"/>
        <v>39480</v>
      </c>
      <c r="K116" s="17" t="s">
        <v>292</v>
      </c>
    </row>
    <row r="117" spans="1:11" x14ac:dyDescent="0.3">
      <c r="A117" s="41" t="s">
        <v>137</v>
      </c>
      <c r="B117" s="4" t="s">
        <v>80</v>
      </c>
      <c r="C117" s="6" t="s">
        <v>175</v>
      </c>
      <c r="D117" s="43" t="s">
        <v>176</v>
      </c>
      <c r="E117" s="35" t="s">
        <v>111</v>
      </c>
      <c r="F117" s="35" t="s">
        <v>67</v>
      </c>
      <c r="G117" s="35" t="s">
        <v>69</v>
      </c>
      <c r="H117" s="35">
        <v>16</v>
      </c>
      <c r="I117" s="35">
        <v>960</v>
      </c>
      <c r="J117" s="37">
        <f t="shared" si="1"/>
        <v>6720</v>
      </c>
      <c r="K117" s="40" t="s">
        <v>292</v>
      </c>
    </row>
    <row r="118" spans="1:11" x14ac:dyDescent="0.3">
      <c r="A118" s="19" t="s">
        <v>138</v>
      </c>
      <c r="B118" s="4" t="s">
        <v>169</v>
      </c>
      <c r="C118" s="6" t="s">
        <v>175</v>
      </c>
      <c r="D118" s="16" t="s">
        <v>176</v>
      </c>
      <c r="E118" s="6" t="s">
        <v>111</v>
      </c>
      <c r="F118" s="6" t="s">
        <v>67</v>
      </c>
      <c r="G118" s="6" t="s">
        <v>69</v>
      </c>
      <c r="H118" s="6">
        <v>46</v>
      </c>
      <c r="I118" s="6">
        <v>2760</v>
      </c>
      <c r="J118" s="37">
        <f t="shared" si="1"/>
        <v>19320</v>
      </c>
      <c r="K118" s="17" t="s">
        <v>292</v>
      </c>
    </row>
    <row r="119" spans="1:11" x14ac:dyDescent="0.3">
      <c r="A119" s="41" t="s">
        <v>139</v>
      </c>
      <c r="B119" s="4" t="s">
        <v>103</v>
      </c>
      <c r="C119" s="6" t="s">
        <v>175</v>
      </c>
      <c r="D119" s="43" t="s">
        <v>177</v>
      </c>
      <c r="E119" s="35" t="s">
        <v>111</v>
      </c>
      <c r="F119" s="35" t="s">
        <v>67</v>
      </c>
      <c r="G119" s="35" t="s">
        <v>69</v>
      </c>
      <c r="H119" s="35">
        <v>67</v>
      </c>
      <c r="I119" s="35">
        <v>4020</v>
      </c>
      <c r="J119" s="37">
        <f t="shared" si="1"/>
        <v>28140</v>
      </c>
      <c r="K119" s="40" t="s">
        <v>292</v>
      </c>
    </row>
    <row r="120" spans="1:11" x14ac:dyDescent="0.3">
      <c r="A120" s="19" t="s">
        <v>140</v>
      </c>
      <c r="B120" s="4" t="s">
        <v>166</v>
      </c>
      <c r="C120" s="6" t="s">
        <v>175</v>
      </c>
      <c r="D120" s="16" t="s">
        <v>177</v>
      </c>
      <c r="E120" s="6" t="s">
        <v>111</v>
      </c>
      <c r="F120" s="6" t="s">
        <v>62</v>
      </c>
      <c r="G120" s="6" t="s">
        <v>69</v>
      </c>
      <c r="H120" s="6">
        <v>88</v>
      </c>
      <c r="I120" s="6">
        <v>5280</v>
      </c>
      <c r="J120" s="37">
        <f t="shared" si="1"/>
        <v>36960</v>
      </c>
      <c r="K120" s="17" t="s">
        <v>292</v>
      </c>
    </row>
    <row r="121" spans="1:11" x14ac:dyDescent="0.3">
      <c r="A121" s="41" t="s">
        <v>141</v>
      </c>
      <c r="B121" s="4" t="s">
        <v>170</v>
      </c>
      <c r="C121" s="6" t="s">
        <v>175</v>
      </c>
      <c r="D121" s="43" t="s">
        <v>177</v>
      </c>
      <c r="E121" s="35" t="s">
        <v>18</v>
      </c>
      <c r="F121" s="35" t="s">
        <v>62</v>
      </c>
      <c r="G121" s="35" t="s">
        <v>12</v>
      </c>
      <c r="H121" s="35">
        <v>53</v>
      </c>
      <c r="I121" s="35">
        <v>3180</v>
      </c>
      <c r="J121" s="37">
        <f t="shared" si="1"/>
        <v>22260</v>
      </c>
      <c r="K121" s="40" t="s">
        <v>292</v>
      </c>
    </row>
    <row r="122" spans="1:11" x14ac:dyDescent="0.3">
      <c r="A122" s="19" t="s">
        <v>142</v>
      </c>
      <c r="B122" s="4" t="s">
        <v>83</v>
      </c>
      <c r="C122" s="6" t="s">
        <v>175</v>
      </c>
      <c r="D122" s="16" t="s">
        <v>177</v>
      </c>
      <c r="E122" s="6" t="s">
        <v>18</v>
      </c>
      <c r="F122" s="6" t="s">
        <v>62</v>
      </c>
      <c r="G122" s="6" t="s">
        <v>12</v>
      </c>
      <c r="H122" s="6">
        <v>90</v>
      </c>
      <c r="I122" s="6">
        <v>5400</v>
      </c>
      <c r="J122" s="37">
        <f t="shared" si="1"/>
        <v>37800</v>
      </c>
      <c r="K122" s="17" t="s">
        <v>292</v>
      </c>
    </row>
    <row r="123" spans="1:11" x14ac:dyDescent="0.3">
      <c r="A123" s="41" t="s">
        <v>143</v>
      </c>
      <c r="B123" s="4" t="s">
        <v>171</v>
      </c>
      <c r="C123" s="6" t="s">
        <v>175</v>
      </c>
      <c r="D123" s="43" t="s">
        <v>177</v>
      </c>
      <c r="E123" s="35" t="s">
        <v>18</v>
      </c>
      <c r="F123" s="35" t="s">
        <v>62</v>
      </c>
      <c r="G123" s="35" t="s">
        <v>12</v>
      </c>
      <c r="H123" s="35">
        <v>40</v>
      </c>
      <c r="I123" s="35">
        <v>2400</v>
      </c>
      <c r="J123" s="37">
        <f t="shared" si="1"/>
        <v>16800</v>
      </c>
      <c r="K123" s="40" t="s">
        <v>292</v>
      </c>
    </row>
    <row r="124" spans="1:11" x14ac:dyDescent="0.3">
      <c r="A124" s="19" t="s">
        <v>144</v>
      </c>
      <c r="B124" s="4" t="s">
        <v>168</v>
      </c>
      <c r="C124" s="6" t="s">
        <v>175</v>
      </c>
      <c r="D124" s="16" t="s">
        <v>177</v>
      </c>
      <c r="E124" s="6" t="s">
        <v>18</v>
      </c>
      <c r="F124" s="6" t="s">
        <v>62</v>
      </c>
      <c r="G124" s="6" t="s">
        <v>12</v>
      </c>
      <c r="H124" s="6">
        <v>50</v>
      </c>
      <c r="I124" s="6">
        <v>3000</v>
      </c>
      <c r="J124" s="37">
        <f t="shared" si="1"/>
        <v>21000</v>
      </c>
      <c r="K124" s="17" t="s">
        <v>292</v>
      </c>
    </row>
    <row r="125" spans="1:11" x14ac:dyDescent="0.3">
      <c r="A125" s="41" t="s">
        <v>93</v>
      </c>
      <c r="B125" s="4" t="s">
        <v>81</v>
      </c>
      <c r="C125" s="6" t="s">
        <v>175</v>
      </c>
      <c r="D125" s="43" t="s">
        <v>10</v>
      </c>
      <c r="E125" s="35" t="s">
        <v>18</v>
      </c>
      <c r="F125" s="35" t="s">
        <v>62</v>
      </c>
      <c r="G125" s="35" t="s">
        <v>12</v>
      </c>
      <c r="H125" s="35">
        <v>60</v>
      </c>
      <c r="I125" s="35">
        <v>3600</v>
      </c>
      <c r="J125" s="37">
        <f t="shared" si="1"/>
        <v>25200</v>
      </c>
      <c r="K125" s="40" t="s">
        <v>292</v>
      </c>
    </row>
    <row r="126" spans="1:11" x14ac:dyDescent="0.3">
      <c r="A126" s="19" t="s">
        <v>145</v>
      </c>
      <c r="B126" s="4" t="s">
        <v>80</v>
      </c>
      <c r="C126" s="6" t="s">
        <v>175</v>
      </c>
      <c r="D126" s="16" t="s">
        <v>9</v>
      </c>
      <c r="E126" s="6" t="s">
        <v>18</v>
      </c>
      <c r="F126" s="6" t="s">
        <v>62</v>
      </c>
      <c r="G126" s="6" t="s">
        <v>12</v>
      </c>
      <c r="H126" s="6">
        <v>80</v>
      </c>
      <c r="I126" s="6">
        <v>4800</v>
      </c>
      <c r="J126" s="37">
        <f t="shared" si="1"/>
        <v>33600</v>
      </c>
      <c r="K126" s="17" t="s">
        <v>292</v>
      </c>
    </row>
    <row r="127" spans="1:11" x14ac:dyDescent="0.3">
      <c r="A127" s="41" t="s">
        <v>49</v>
      </c>
      <c r="B127" s="4" t="s">
        <v>103</v>
      </c>
      <c r="C127" s="6" t="s">
        <v>175</v>
      </c>
      <c r="D127" s="43" t="s">
        <v>177</v>
      </c>
      <c r="E127" s="35" t="s">
        <v>18</v>
      </c>
      <c r="F127" s="35" t="s">
        <v>62</v>
      </c>
      <c r="G127" s="35" t="s">
        <v>12</v>
      </c>
      <c r="H127" s="35">
        <v>70</v>
      </c>
      <c r="I127" s="35">
        <v>4200</v>
      </c>
      <c r="J127" s="37">
        <f t="shared" si="1"/>
        <v>29400</v>
      </c>
      <c r="K127" s="40" t="s">
        <v>292</v>
      </c>
    </row>
    <row r="128" spans="1:11" x14ac:dyDescent="0.3">
      <c r="A128" s="19" t="s">
        <v>146</v>
      </c>
      <c r="B128" s="4" t="s">
        <v>103</v>
      </c>
      <c r="C128" s="6" t="s">
        <v>175</v>
      </c>
      <c r="D128" s="16" t="s">
        <v>176</v>
      </c>
      <c r="E128" s="6" t="s">
        <v>18</v>
      </c>
      <c r="F128" s="6" t="s">
        <v>62</v>
      </c>
      <c r="G128" s="6" t="s">
        <v>12</v>
      </c>
      <c r="H128" s="6">
        <v>81</v>
      </c>
      <c r="I128" s="6">
        <v>4860</v>
      </c>
      <c r="J128" s="37">
        <f t="shared" si="1"/>
        <v>34020</v>
      </c>
      <c r="K128" s="17" t="s">
        <v>292</v>
      </c>
    </row>
    <row r="129" spans="1:11" x14ac:dyDescent="0.3">
      <c r="A129" s="41" t="s">
        <v>147</v>
      </c>
      <c r="B129" s="4" t="s">
        <v>82</v>
      </c>
      <c r="C129" s="6" t="s">
        <v>175</v>
      </c>
      <c r="D129" s="43" t="s">
        <v>176</v>
      </c>
      <c r="E129" s="35" t="s">
        <v>18</v>
      </c>
      <c r="F129" s="35" t="s">
        <v>11</v>
      </c>
      <c r="G129" s="35" t="s">
        <v>12</v>
      </c>
      <c r="H129" s="35">
        <v>83</v>
      </c>
      <c r="I129" s="35">
        <v>4980</v>
      </c>
      <c r="J129" s="37">
        <f t="shared" si="1"/>
        <v>34860</v>
      </c>
      <c r="K129" s="40" t="s">
        <v>292</v>
      </c>
    </row>
    <row r="130" spans="1:11" x14ac:dyDescent="0.3">
      <c r="A130" s="19" t="s">
        <v>148</v>
      </c>
      <c r="B130" s="4" t="s">
        <v>168</v>
      </c>
      <c r="C130" s="6" t="s">
        <v>175</v>
      </c>
      <c r="D130" s="16" t="s">
        <v>177</v>
      </c>
      <c r="E130" s="6" t="s">
        <v>18</v>
      </c>
      <c r="F130" s="6" t="s">
        <v>11</v>
      </c>
      <c r="G130" s="6" t="s">
        <v>12</v>
      </c>
      <c r="H130" s="6">
        <v>79</v>
      </c>
      <c r="I130" s="6">
        <v>4740</v>
      </c>
      <c r="J130" s="37">
        <f t="shared" si="1"/>
        <v>33180</v>
      </c>
      <c r="K130" s="17" t="s">
        <v>292</v>
      </c>
    </row>
    <row r="131" spans="1:11" x14ac:dyDescent="0.3">
      <c r="A131" s="41" t="s">
        <v>149</v>
      </c>
      <c r="B131" s="4" t="s">
        <v>85</v>
      </c>
      <c r="C131" s="6" t="s">
        <v>175</v>
      </c>
      <c r="D131" s="43" t="s">
        <v>177</v>
      </c>
      <c r="E131" s="35" t="s">
        <v>18</v>
      </c>
      <c r="F131" s="35" t="s">
        <v>11</v>
      </c>
      <c r="G131" s="35" t="s">
        <v>12</v>
      </c>
      <c r="H131" s="35">
        <v>46</v>
      </c>
      <c r="I131" s="35">
        <v>2760</v>
      </c>
      <c r="J131" s="37">
        <f t="shared" ref="J131:J194" si="2">I131*7</f>
        <v>19320</v>
      </c>
      <c r="K131" s="40" t="s">
        <v>292</v>
      </c>
    </row>
    <row r="132" spans="1:11" x14ac:dyDescent="0.3">
      <c r="A132" s="19" t="s">
        <v>150</v>
      </c>
      <c r="B132" s="4" t="s">
        <v>166</v>
      </c>
      <c r="C132" s="6" t="s">
        <v>175</v>
      </c>
      <c r="D132" s="16" t="s">
        <v>177</v>
      </c>
      <c r="E132" s="6" t="s">
        <v>18</v>
      </c>
      <c r="F132" s="6" t="s">
        <v>11</v>
      </c>
      <c r="G132" s="6" t="s">
        <v>12</v>
      </c>
      <c r="H132" s="6">
        <v>88</v>
      </c>
      <c r="I132" s="6">
        <v>5280</v>
      </c>
      <c r="J132" s="37">
        <f t="shared" si="2"/>
        <v>36960</v>
      </c>
      <c r="K132" s="17" t="s">
        <v>298</v>
      </c>
    </row>
    <row r="133" spans="1:11" x14ac:dyDescent="0.3">
      <c r="A133" s="41" t="s">
        <v>151</v>
      </c>
      <c r="B133" s="4" t="s">
        <v>82</v>
      </c>
      <c r="C133" s="6" t="s">
        <v>175</v>
      </c>
      <c r="D133" s="43" t="s">
        <v>233</v>
      </c>
      <c r="E133" s="35" t="s">
        <v>18</v>
      </c>
      <c r="F133" s="35" t="s">
        <v>11</v>
      </c>
      <c r="G133" s="35" t="s">
        <v>12</v>
      </c>
      <c r="H133" s="35">
        <v>56</v>
      </c>
      <c r="I133" s="35">
        <v>3360</v>
      </c>
      <c r="J133" s="37">
        <f t="shared" si="2"/>
        <v>23520</v>
      </c>
      <c r="K133" s="40" t="s">
        <v>298</v>
      </c>
    </row>
    <row r="134" spans="1:11" x14ac:dyDescent="0.3">
      <c r="A134" s="19" t="s">
        <v>152</v>
      </c>
      <c r="B134" s="4" t="s">
        <v>103</v>
      </c>
      <c r="C134" s="6" t="s">
        <v>175</v>
      </c>
      <c r="D134" s="16" t="s">
        <v>233</v>
      </c>
      <c r="E134" s="6" t="s">
        <v>18</v>
      </c>
      <c r="F134" s="6" t="s">
        <v>11</v>
      </c>
      <c r="G134" s="6" t="s">
        <v>12</v>
      </c>
      <c r="H134" s="6">
        <v>33</v>
      </c>
      <c r="I134" s="6">
        <v>1980</v>
      </c>
      <c r="J134" s="37">
        <f t="shared" si="2"/>
        <v>13860</v>
      </c>
      <c r="K134" s="17" t="s">
        <v>298</v>
      </c>
    </row>
    <row r="135" spans="1:11" x14ac:dyDescent="0.3">
      <c r="A135" s="41" t="s">
        <v>153</v>
      </c>
      <c r="B135" s="4" t="s">
        <v>80</v>
      </c>
      <c r="C135" s="6" t="s">
        <v>175</v>
      </c>
      <c r="D135" s="43" t="s">
        <v>233</v>
      </c>
      <c r="E135" s="35" t="s">
        <v>18</v>
      </c>
      <c r="F135" s="35" t="s">
        <v>11</v>
      </c>
      <c r="G135" s="35" t="s">
        <v>12</v>
      </c>
      <c r="H135" s="35">
        <v>37</v>
      </c>
      <c r="I135" s="35">
        <v>2220</v>
      </c>
      <c r="J135" s="37">
        <f t="shared" si="2"/>
        <v>15540</v>
      </c>
      <c r="K135" s="40" t="s">
        <v>298</v>
      </c>
    </row>
    <row r="136" spans="1:11" x14ac:dyDescent="0.3">
      <c r="A136" s="19" t="s">
        <v>154</v>
      </c>
      <c r="B136" s="4" t="s">
        <v>81</v>
      </c>
      <c r="C136" s="6" t="s">
        <v>175</v>
      </c>
      <c r="D136" s="16" t="s">
        <v>233</v>
      </c>
      <c r="E136" s="6" t="s">
        <v>18</v>
      </c>
      <c r="F136" s="6" t="s">
        <v>11</v>
      </c>
      <c r="G136" s="6" t="s">
        <v>12</v>
      </c>
      <c r="H136" s="6">
        <v>47</v>
      </c>
      <c r="I136" s="6">
        <v>2820</v>
      </c>
      <c r="J136" s="37">
        <f t="shared" si="2"/>
        <v>19740</v>
      </c>
      <c r="K136" s="17" t="s">
        <v>298</v>
      </c>
    </row>
    <row r="137" spans="1:11" x14ac:dyDescent="0.3">
      <c r="A137" s="41" t="s">
        <v>155</v>
      </c>
      <c r="B137" s="4" t="s">
        <v>169</v>
      </c>
      <c r="C137" s="6" t="s">
        <v>175</v>
      </c>
      <c r="D137" s="43" t="s">
        <v>233</v>
      </c>
      <c r="E137" s="35" t="s">
        <v>18</v>
      </c>
      <c r="F137" s="35" t="s">
        <v>11</v>
      </c>
      <c r="G137" s="35" t="s">
        <v>12</v>
      </c>
      <c r="H137" s="35">
        <v>48</v>
      </c>
      <c r="I137" s="35">
        <v>2880</v>
      </c>
      <c r="J137" s="37">
        <f t="shared" si="2"/>
        <v>20160</v>
      </c>
      <c r="K137" s="40" t="s">
        <v>298</v>
      </c>
    </row>
    <row r="138" spans="1:11" x14ac:dyDescent="0.3">
      <c r="A138" s="19" t="s">
        <v>156</v>
      </c>
      <c r="B138" s="4" t="s">
        <v>169</v>
      </c>
      <c r="C138" s="6" t="s">
        <v>175</v>
      </c>
      <c r="D138" s="16" t="s">
        <v>233</v>
      </c>
      <c r="E138" s="6" t="s">
        <v>18</v>
      </c>
      <c r="F138" s="6" t="s">
        <v>11</v>
      </c>
      <c r="G138" s="6" t="s">
        <v>12</v>
      </c>
      <c r="H138" s="6">
        <v>58</v>
      </c>
      <c r="I138" s="6">
        <v>3480</v>
      </c>
      <c r="J138" s="37">
        <f t="shared" si="2"/>
        <v>24360</v>
      </c>
      <c r="K138" s="17" t="s">
        <v>298</v>
      </c>
    </row>
    <row r="139" spans="1:11" x14ac:dyDescent="0.3">
      <c r="A139" s="41" t="s">
        <v>157</v>
      </c>
      <c r="B139" s="4" t="s">
        <v>172</v>
      </c>
      <c r="C139" s="6" t="s">
        <v>175</v>
      </c>
      <c r="D139" s="43" t="s">
        <v>233</v>
      </c>
      <c r="E139" s="35" t="s">
        <v>18</v>
      </c>
      <c r="F139" s="35" t="s">
        <v>11</v>
      </c>
      <c r="G139" s="35" t="s">
        <v>12</v>
      </c>
      <c r="H139" s="35">
        <v>28</v>
      </c>
      <c r="I139" s="35">
        <v>1680</v>
      </c>
      <c r="J139" s="37">
        <f t="shared" si="2"/>
        <v>11760</v>
      </c>
      <c r="K139" s="40" t="s">
        <v>298</v>
      </c>
    </row>
    <row r="140" spans="1:11" x14ac:dyDescent="0.3">
      <c r="A140" s="19" t="s">
        <v>158</v>
      </c>
      <c r="B140" s="4" t="s">
        <v>80</v>
      </c>
      <c r="C140" s="6" t="s">
        <v>175</v>
      </c>
      <c r="D140" s="16" t="s">
        <v>233</v>
      </c>
      <c r="E140" s="6" t="s">
        <v>18</v>
      </c>
      <c r="F140" s="6" t="s">
        <v>11</v>
      </c>
      <c r="G140" s="6" t="s">
        <v>12</v>
      </c>
      <c r="H140" s="6">
        <v>68</v>
      </c>
      <c r="I140" s="6">
        <v>4080</v>
      </c>
      <c r="J140" s="37">
        <f t="shared" si="2"/>
        <v>28560</v>
      </c>
      <c r="K140" s="17" t="s">
        <v>298</v>
      </c>
    </row>
    <row r="141" spans="1:11" x14ac:dyDescent="0.3">
      <c r="A141" s="41" t="s">
        <v>159</v>
      </c>
      <c r="B141" s="4" t="s">
        <v>82</v>
      </c>
      <c r="C141" s="6" t="s">
        <v>175</v>
      </c>
      <c r="D141" s="43" t="s">
        <v>233</v>
      </c>
      <c r="E141" s="35" t="s">
        <v>18</v>
      </c>
      <c r="F141" s="35" t="s">
        <v>11</v>
      </c>
      <c r="G141" s="35" t="s">
        <v>12</v>
      </c>
      <c r="H141" s="35">
        <v>55</v>
      </c>
      <c r="I141" s="35">
        <v>3300</v>
      </c>
      <c r="J141" s="37">
        <f t="shared" si="2"/>
        <v>23100</v>
      </c>
      <c r="K141" s="40" t="s">
        <v>298</v>
      </c>
    </row>
    <row r="142" spans="1:11" x14ac:dyDescent="0.3">
      <c r="A142" s="19" t="s">
        <v>160</v>
      </c>
      <c r="B142" s="4" t="s">
        <v>173</v>
      </c>
      <c r="C142" s="6" t="s">
        <v>175</v>
      </c>
      <c r="D142" s="16" t="s">
        <v>233</v>
      </c>
      <c r="E142" s="6" t="s">
        <v>18</v>
      </c>
      <c r="F142" s="6" t="s">
        <v>11</v>
      </c>
      <c r="G142" s="6" t="s">
        <v>12</v>
      </c>
      <c r="H142" s="6">
        <v>61</v>
      </c>
      <c r="I142" s="6">
        <v>3660</v>
      </c>
      <c r="J142" s="37">
        <f t="shared" si="2"/>
        <v>25620</v>
      </c>
      <c r="K142" s="17" t="s">
        <v>298</v>
      </c>
    </row>
    <row r="143" spans="1:11" x14ac:dyDescent="0.3">
      <c r="A143" s="41" t="s">
        <v>161</v>
      </c>
      <c r="B143" s="4" t="s">
        <v>167</v>
      </c>
      <c r="C143" s="6" t="s">
        <v>175</v>
      </c>
      <c r="D143" s="43" t="s">
        <v>233</v>
      </c>
      <c r="E143" s="35" t="s">
        <v>18</v>
      </c>
      <c r="F143" s="35" t="s">
        <v>62</v>
      </c>
      <c r="G143" s="35" t="s">
        <v>12</v>
      </c>
      <c r="H143" s="35">
        <v>41</v>
      </c>
      <c r="I143" s="35">
        <v>2460</v>
      </c>
      <c r="J143" s="37">
        <f t="shared" si="2"/>
        <v>17220</v>
      </c>
      <c r="K143" s="40" t="s">
        <v>298</v>
      </c>
    </row>
    <row r="144" spans="1:11" x14ac:dyDescent="0.3">
      <c r="A144" s="19" t="s">
        <v>162</v>
      </c>
      <c r="B144" s="4" t="s">
        <v>174</v>
      </c>
      <c r="C144" s="6" t="s">
        <v>175</v>
      </c>
      <c r="D144" s="16" t="s">
        <v>233</v>
      </c>
      <c r="E144" s="6" t="s">
        <v>18</v>
      </c>
      <c r="F144" s="6" t="s">
        <v>62</v>
      </c>
      <c r="G144" s="6" t="s">
        <v>12</v>
      </c>
      <c r="H144" s="6">
        <v>81</v>
      </c>
      <c r="I144" s="6">
        <v>4860</v>
      </c>
      <c r="J144" s="37">
        <f t="shared" si="2"/>
        <v>34020</v>
      </c>
      <c r="K144" s="17" t="s">
        <v>298</v>
      </c>
    </row>
    <row r="145" spans="1:11" x14ac:dyDescent="0.3">
      <c r="A145" s="41" t="s">
        <v>163</v>
      </c>
      <c r="B145" s="4" t="s">
        <v>81</v>
      </c>
      <c r="C145" s="6" t="s">
        <v>175</v>
      </c>
      <c r="D145" s="43" t="s">
        <v>233</v>
      </c>
      <c r="E145" s="35" t="s">
        <v>18</v>
      </c>
      <c r="F145" s="35" t="s">
        <v>62</v>
      </c>
      <c r="G145" s="35" t="s">
        <v>12</v>
      </c>
      <c r="H145" s="35">
        <v>85</v>
      </c>
      <c r="I145" s="35">
        <v>5100</v>
      </c>
      <c r="J145" s="37">
        <f t="shared" si="2"/>
        <v>35700</v>
      </c>
      <c r="K145" s="40" t="s">
        <v>298</v>
      </c>
    </row>
    <row r="146" spans="1:11" x14ac:dyDescent="0.3">
      <c r="A146" s="19" t="s">
        <v>164</v>
      </c>
      <c r="B146" s="9" t="s">
        <v>86</v>
      </c>
      <c r="C146" s="11" t="s">
        <v>175</v>
      </c>
      <c r="D146" s="16" t="s">
        <v>233</v>
      </c>
      <c r="E146" s="6" t="s">
        <v>18</v>
      </c>
      <c r="F146" s="6" t="s">
        <v>62</v>
      </c>
      <c r="G146" s="6" t="s">
        <v>12</v>
      </c>
      <c r="H146" s="6">
        <v>59</v>
      </c>
      <c r="I146" s="6">
        <v>3540</v>
      </c>
      <c r="J146" s="37">
        <f t="shared" si="2"/>
        <v>24780</v>
      </c>
      <c r="K146" s="17" t="s">
        <v>298</v>
      </c>
    </row>
    <row r="147" spans="1:11" x14ac:dyDescent="0.3">
      <c r="A147" s="42" t="s">
        <v>179</v>
      </c>
      <c r="B147" s="4" t="s">
        <v>109</v>
      </c>
      <c r="C147" s="24" t="s">
        <v>229</v>
      </c>
      <c r="D147" s="44" t="s">
        <v>9</v>
      </c>
      <c r="E147" s="42" t="s">
        <v>18</v>
      </c>
      <c r="F147" s="42" t="s">
        <v>11</v>
      </c>
      <c r="G147" s="42" t="s">
        <v>69</v>
      </c>
      <c r="H147" s="42">
        <v>51</v>
      </c>
      <c r="I147" s="42">
        <v>3060</v>
      </c>
      <c r="J147" s="37">
        <f t="shared" si="2"/>
        <v>21420</v>
      </c>
      <c r="K147" s="47" t="s">
        <v>295</v>
      </c>
    </row>
    <row r="148" spans="1:11" x14ac:dyDescent="0.3">
      <c r="A148" s="24" t="s">
        <v>180</v>
      </c>
      <c r="B148" s="4" t="s">
        <v>82</v>
      </c>
      <c r="C148" s="24" t="s">
        <v>229</v>
      </c>
      <c r="D148" s="23" t="s">
        <v>9</v>
      </c>
      <c r="E148" s="24" t="s">
        <v>18</v>
      </c>
      <c r="F148" s="24" t="s">
        <v>11</v>
      </c>
      <c r="G148" s="24" t="s">
        <v>69</v>
      </c>
      <c r="H148" s="24">
        <v>19</v>
      </c>
      <c r="I148" s="24">
        <v>1140</v>
      </c>
      <c r="J148" s="37">
        <f t="shared" si="2"/>
        <v>7980</v>
      </c>
      <c r="K148" s="48" t="s">
        <v>295</v>
      </c>
    </row>
    <row r="149" spans="1:11" x14ac:dyDescent="0.3">
      <c r="A149" s="42" t="s">
        <v>181</v>
      </c>
      <c r="B149" s="4" t="s">
        <v>81</v>
      </c>
      <c r="C149" s="24" t="s">
        <v>229</v>
      </c>
      <c r="D149" s="44" t="s">
        <v>9</v>
      </c>
      <c r="E149" s="42" t="s">
        <v>18</v>
      </c>
      <c r="F149" s="42" t="s">
        <v>11</v>
      </c>
      <c r="G149" s="42" t="s">
        <v>69</v>
      </c>
      <c r="H149" s="42">
        <v>45</v>
      </c>
      <c r="I149" s="42">
        <v>2700</v>
      </c>
      <c r="J149" s="37">
        <f t="shared" si="2"/>
        <v>18900</v>
      </c>
      <c r="K149" s="47" t="s">
        <v>295</v>
      </c>
    </row>
    <row r="150" spans="1:11" x14ac:dyDescent="0.3">
      <c r="A150" s="24" t="s">
        <v>182</v>
      </c>
      <c r="B150" s="4" t="s">
        <v>103</v>
      </c>
      <c r="C150" s="24" t="s">
        <v>229</v>
      </c>
      <c r="D150" s="23" t="s">
        <v>9</v>
      </c>
      <c r="E150" s="24" t="s">
        <v>18</v>
      </c>
      <c r="F150" s="24" t="s">
        <v>11</v>
      </c>
      <c r="G150" s="24" t="s">
        <v>69</v>
      </c>
      <c r="H150" s="24">
        <v>55</v>
      </c>
      <c r="I150" s="24">
        <v>3300</v>
      </c>
      <c r="J150" s="37">
        <f t="shared" si="2"/>
        <v>23100</v>
      </c>
      <c r="K150" s="48" t="s">
        <v>295</v>
      </c>
    </row>
    <row r="151" spans="1:11" x14ac:dyDescent="0.3">
      <c r="A151" s="42" t="s">
        <v>183</v>
      </c>
      <c r="B151" s="4" t="s">
        <v>80</v>
      </c>
      <c r="C151" s="24" t="s">
        <v>229</v>
      </c>
      <c r="D151" s="44" t="s">
        <v>9</v>
      </c>
      <c r="E151" s="42" t="s">
        <v>18</v>
      </c>
      <c r="F151" s="42" t="s">
        <v>11</v>
      </c>
      <c r="G151" s="42" t="s">
        <v>69</v>
      </c>
      <c r="H151" s="42">
        <v>70</v>
      </c>
      <c r="I151" s="42">
        <v>4200</v>
      </c>
      <c r="J151" s="37">
        <f t="shared" si="2"/>
        <v>29400</v>
      </c>
      <c r="K151" s="47" t="s">
        <v>295</v>
      </c>
    </row>
    <row r="152" spans="1:11" x14ac:dyDescent="0.3">
      <c r="A152" s="24" t="s">
        <v>184</v>
      </c>
      <c r="B152" s="4" t="s">
        <v>166</v>
      </c>
      <c r="C152" s="24" t="s">
        <v>229</v>
      </c>
      <c r="D152" s="23" t="s">
        <v>9</v>
      </c>
      <c r="E152" s="24" t="s">
        <v>18</v>
      </c>
      <c r="F152" s="24" t="s">
        <v>11</v>
      </c>
      <c r="G152" s="24" t="s">
        <v>69</v>
      </c>
      <c r="H152" s="24">
        <v>62</v>
      </c>
      <c r="I152" s="24">
        <v>3720</v>
      </c>
      <c r="J152" s="37">
        <f t="shared" si="2"/>
        <v>26040</v>
      </c>
      <c r="K152" s="48" t="s">
        <v>295</v>
      </c>
    </row>
    <row r="153" spans="1:11" x14ac:dyDescent="0.3">
      <c r="A153" s="42" t="s">
        <v>185</v>
      </c>
      <c r="B153" s="4" t="s">
        <v>169</v>
      </c>
      <c r="C153" s="24" t="s">
        <v>229</v>
      </c>
      <c r="D153" s="44" t="s">
        <v>9</v>
      </c>
      <c r="E153" s="42" t="s">
        <v>18</v>
      </c>
      <c r="F153" s="42" t="s">
        <v>11</v>
      </c>
      <c r="G153" s="42" t="s">
        <v>69</v>
      </c>
      <c r="H153" s="42">
        <v>35</v>
      </c>
      <c r="I153" s="42">
        <v>2100</v>
      </c>
      <c r="J153" s="37">
        <f t="shared" si="2"/>
        <v>14700</v>
      </c>
      <c r="K153" s="47" t="s">
        <v>295</v>
      </c>
    </row>
    <row r="154" spans="1:11" x14ac:dyDescent="0.3">
      <c r="A154" s="24" t="s">
        <v>186</v>
      </c>
      <c r="B154" s="4" t="s">
        <v>230</v>
      </c>
      <c r="C154" s="24" t="s">
        <v>229</v>
      </c>
      <c r="D154" s="23" t="s">
        <v>9</v>
      </c>
      <c r="E154" s="24" t="s">
        <v>18</v>
      </c>
      <c r="F154" s="24" t="s">
        <v>11</v>
      </c>
      <c r="G154" s="24" t="s">
        <v>69</v>
      </c>
      <c r="H154" s="24">
        <v>53</v>
      </c>
      <c r="I154" s="24">
        <v>3180</v>
      </c>
      <c r="J154" s="37">
        <f t="shared" si="2"/>
        <v>22260</v>
      </c>
      <c r="K154" s="48" t="s">
        <v>295</v>
      </c>
    </row>
    <row r="155" spans="1:11" x14ac:dyDescent="0.3">
      <c r="A155" s="42" t="s">
        <v>187</v>
      </c>
      <c r="B155" s="4" t="s">
        <v>86</v>
      </c>
      <c r="C155" s="24" t="s">
        <v>229</v>
      </c>
      <c r="D155" s="44" t="s">
        <v>9</v>
      </c>
      <c r="E155" s="42" t="s">
        <v>18</v>
      </c>
      <c r="F155" s="42" t="s">
        <v>62</v>
      </c>
      <c r="G155" s="42" t="s">
        <v>69</v>
      </c>
      <c r="H155" s="42">
        <v>41</v>
      </c>
      <c r="I155" s="42">
        <v>2460</v>
      </c>
      <c r="J155" s="37">
        <f t="shared" si="2"/>
        <v>17220</v>
      </c>
      <c r="K155" s="47" t="s">
        <v>295</v>
      </c>
    </row>
    <row r="156" spans="1:11" x14ac:dyDescent="0.3">
      <c r="A156" s="24" t="s">
        <v>188</v>
      </c>
      <c r="B156" s="4" t="s">
        <v>106</v>
      </c>
      <c r="C156" s="24" t="s">
        <v>229</v>
      </c>
      <c r="D156" s="23" t="s">
        <v>15</v>
      </c>
      <c r="E156" s="24" t="s">
        <v>18</v>
      </c>
      <c r="F156" s="24" t="s">
        <v>62</v>
      </c>
      <c r="G156" s="24" t="s">
        <v>69</v>
      </c>
      <c r="H156" s="24">
        <v>55</v>
      </c>
      <c r="I156" s="24">
        <v>3300</v>
      </c>
      <c r="J156" s="37">
        <f t="shared" si="2"/>
        <v>23100</v>
      </c>
      <c r="K156" s="48" t="s">
        <v>295</v>
      </c>
    </row>
    <row r="157" spans="1:11" x14ac:dyDescent="0.3">
      <c r="A157" s="42" t="s">
        <v>189</v>
      </c>
      <c r="B157" s="4" t="s">
        <v>168</v>
      </c>
      <c r="C157" s="24" t="s">
        <v>229</v>
      </c>
      <c r="D157" s="44" t="s">
        <v>15</v>
      </c>
      <c r="E157" s="42" t="s">
        <v>18</v>
      </c>
      <c r="F157" s="42" t="s">
        <v>62</v>
      </c>
      <c r="G157" s="42" t="s">
        <v>69</v>
      </c>
      <c r="H157" s="42">
        <v>44</v>
      </c>
      <c r="I157" s="42">
        <v>2640</v>
      </c>
      <c r="J157" s="37">
        <f t="shared" si="2"/>
        <v>18480</v>
      </c>
      <c r="K157" s="49" t="s">
        <v>296</v>
      </c>
    </row>
    <row r="158" spans="1:11" x14ac:dyDescent="0.3">
      <c r="A158" s="24" t="s">
        <v>190</v>
      </c>
      <c r="B158" s="4" t="s">
        <v>81</v>
      </c>
      <c r="C158" s="24" t="s">
        <v>229</v>
      </c>
      <c r="D158" s="23" t="s">
        <v>15</v>
      </c>
      <c r="E158" s="24" t="s">
        <v>18</v>
      </c>
      <c r="F158" s="24" t="s">
        <v>62</v>
      </c>
      <c r="G158" s="24" t="s">
        <v>69</v>
      </c>
      <c r="H158" s="24">
        <v>63</v>
      </c>
      <c r="I158" s="24">
        <v>3780</v>
      </c>
      <c r="J158" s="37">
        <f t="shared" si="2"/>
        <v>26460</v>
      </c>
      <c r="K158" s="25" t="s">
        <v>296</v>
      </c>
    </row>
    <row r="159" spans="1:11" x14ac:dyDescent="0.3">
      <c r="A159" s="42" t="s">
        <v>191</v>
      </c>
      <c r="B159" s="4" t="s">
        <v>80</v>
      </c>
      <c r="C159" s="24" t="s">
        <v>229</v>
      </c>
      <c r="D159" s="44" t="s">
        <v>15</v>
      </c>
      <c r="E159" s="42" t="s">
        <v>18</v>
      </c>
      <c r="F159" s="42" t="s">
        <v>62</v>
      </c>
      <c r="G159" s="42" t="s">
        <v>69</v>
      </c>
      <c r="H159" s="42">
        <v>33</v>
      </c>
      <c r="I159" s="42">
        <v>1980</v>
      </c>
      <c r="J159" s="37">
        <f t="shared" si="2"/>
        <v>13860</v>
      </c>
      <c r="K159" s="49" t="s">
        <v>296</v>
      </c>
    </row>
    <row r="160" spans="1:11" x14ac:dyDescent="0.3">
      <c r="A160" s="24" t="s">
        <v>192</v>
      </c>
      <c r="B160" s="4" t="s">
        <v>109</v>
      </c>
      <c r="C160" s="24" t="s">
        <v>229</v>
      </c>
      <c r="D160" s="23" t="s">
        <v>15</v>
      </c>
      <c r="E160" s="24" t="s">
        <v>18</v>
      </c>
      <c r="F160" s="24" t="s">
        <v>62</v>
      </c>
      <c r="G160" s="24" t="s">
        <v>69</v>
      </c>
      <c r="H160" s="24">
        <v>58</v>
      </c>
      <c r="I160" s="24">
        <v>3480</v>
      </c>
      <c r="J160" s="37">
        <f t="shared" si="2"/>
        <v>24360</v>
      </c>
      <c r="K160" s="25" t="s">
        <v>296</v>
      </c>
    </row>
    <row r="161" spans="1:11" x14ac:dyDescent="0.3">
      <c r="A161" s="42" t="s">
        <v>193</v>
      </c>
      <c r="B161" s="4" t="s">
        <v>82</v>
      </c>
      <c r="C161" s="24" t="s">
        <v>229</v>
      </c>
      <c r="D161" s="44" t="s">
        <v>15</v>
      </c>
      <c r="E161" s="42" t="s">
        <v>18</v>
      </c>
      <c r="F161" s="42" t="s">
        <v>62</v>
      </c>
      <c r="G161" s="42" t="s">
        <v>69</v>
      </c>
      <c r="H161" s="42">
        <v>22</v>
      </c>
      <c r="I161" s="42">
        <v>1320</v>
      </c>
      <c r="J161" s="37">
        <f t="shared" si="2"/>
        <v>9240</v>
      </c>
      <c r="K161" s="49" t="s">
        <v>296</v>
      </c>
    </row>
    <row r="162" spans="1:11" x14ac:dyDescent="0.3">
      <c r="A162" s="24" t="s">
        <v>194</v>
      </c>
      <c r="B162" s="4" t="s">
        <v>166</v>
      </c>
      <c r="C162" s="24" t="s">
        <v>229</v>
      </c>
      <c r="D162" s="23" t="s">
        <v>15</v>
      </c>
      <c r="E162" s="24" t="s">
        <v>18</v>
      </c>
      <c r="F162" s="24" t="s">
        <v>62</v>
      </c>
      <c r="G162" s="24" t="s">
        <v>69</v>
      </c>
      <c r="H162" s="24">
        <v>67</v>
      </c>
      <c r="I162" s="24">
        <v>4020</v>
      </c>
      <c r="J162" s="37">
        <f t="shared" si="2"/>
        <v>28140</v>
      </c>
      <c r="K162" s="25" t="s">
        <v>296</v>
      </c>
    </row>
    <row r="163" spans="1:11" x14ac:dyDescent="0.3">
      <c r="A163" s="42" t="s">
        <v>195</v>
      </c>
      <c r="B163" s="4" t="s">
        <v>80</v>
      </c>
      <c r="C163" s="24" t="s">
        <v>229</v>
      </c>
      <c r="D163" s="44" t="s">
        <v>232</v>
      </c>
      <c r="E163" s="42" t="s">
        <v>18</v>
      </c>
      <c r="F163" s="42" t="s">
        <v>62</v>
      </c>
      <c r="G163" s="42" t="s">
        <v>69</v>
      </c>
      <c r="H163" s="42">
        <v>49</v>
      </c>
      <c r="I163" s="42">
        <v>2940</v>
      </c>
      <c r="J163" s="37">
        <f t="shared" si="2"/>
        <v>20580</v>
      </c>
      <c r="K163" s="49" t="s">
        <v>296</v>
      </c>
    </row>
    <row r="164" spans="1:11" x14ac:dyDescent="0.3">
      <c r="A164" s="24" t="s">
        <v>196</v>
      </c>
      <c r="B164" s="4" t="s">
        <v>86</v>
      </c>
      <c r="C164" s="24" t="s">
        <v>229</v>
      </c>
      <c r="D164" s="23" t="s">
        <v>232</v>
      </c>
      <c r="E164" s="24" t="s">
        <v>113</v>
      </c>
      <c r="F164" s="24" t="s">
        <v>62</v>
      </c>
      <c r="G164" s="24" t="s">
        <v>235</v>
      </c>
      <c r="H164" s="24">
        <v>57</v>
      </c>
      <c r="I164" s="24">
        <v>3420</v>
      </c>
      <c r="J164" s="37">
        <f t="shared" si="2"/>
        <v>23940</v>
      </c>
      <c r="K164" s="25" t="s">
        <v>296</v>
      </c>
    </row>
    <row r="165" spans="1:11" x14ac:dyDescent="0.3">
      <c r="A165" s="42" t="s">
        <v>197</v>
      </c>
      <c r="B165" s="4" t="s">
        <v>103</v>
      </c>
      <c r="C165" s="24" t="s">
        <v>229</v>
      </c>
      <c r="D165" s="44" t="s">
        <v>9</v>
      </c>
      <c r="E165" s="42" t="s">
        <v>113</v>
      </c>
      <c r="F165" s="42" t="s">
        <v>62</v>
      </c>
      <c r="G165" s="42" t="s">
        <v>235</v>
      </c>
      <c r="H165" s="42">
        <v>38</v>
      </c>
      <c r="I165" s="42">
        <v>2280</v>
      </c>
      <c r="J165" s="37">
        <f t="shared" si="2"/>
        <v>15960</v>
      </c>
      <c r="K165" s="49" t="s">
        <v>296</v>
      </c>
    </row>
    <row r="166" spans="1:11" x14ac:dyDescent="0.3">
      <c r="A166" s="24" t="s">
        <v>198</v>
      </c>
      <c r="B166" s="4" t="s">
        <v>85</v>
      </c>
      <c r="C166" s="24" t="s">
        <v>229</v>
      </c>
      <c r="D166" s="23" t="s">
        <v>9</v>
      </c>
      <c r="E166" s="24" t="s">
        <v>113</v>
      </c>
      <c r="F166" s="24" t="s">
        <v>62</v>
      </c>
      <c r="G166" s="24" t="s">
        <v>235</v>
      </c>
      <c r="H166" s="24">
        <v>11</v>
      </c>
      <c r="I166" s="24">
        <v>660</v>
      </c>
      <c r="J166" s="37">
        <f t="shared" si="2"/>
        <v>4620</v>
      </c>
      <c r="K166" s="25" t="s">
        <v>296</v>
      </c>
    </row>
    <row r="167" spans="1:11" x14ac:dyDescent="0.3">
      <c r="A167" s="42" t="s">
        <v>199</v>
      </c>
      <c r="B167" s="4" t="s">
        <v>168</v>
      </c>
      <c r="C167" s="24" t="s">
        <v>229</v>
      </c>
      <c r="D167" s="44" t="s">
        <v>9</v>
      </c>
      <c r="E167" s="42" t="s">
        <v>113</v>
      </c>
      <c r="F167" s="42" t="s">
        <v>62</v>
      </c>
      <c r="G167" s="42" t="s">
        <v>235</v>
      </c>
      <c r="H167" s="42">
        <v>66</v>
      </c>
      <c r="I167" s="42">
        <v>3960</v>
      </c>
      <c r="J167" s="37">
        <f t="shared" si="2"/>
        <v>27720</v>
      </c>
      <c r="K167" s="49" t="s">
        <v>296</v>
      </c>
    </row>
    <row r="168" spans="1:11" x14ac:dyDescent="0.3">
      <c r="A168" s="24" t="s">
        <v>200</v>
      </c>
      <c r="B168" s="4" t="s">
        <v>169</v>
      </c>
      <c r="C168" s="24" t="s">
        <v>229</v>
      </c>
      <c r="D168" s="23" t="s">
        <v>9</v>
      </c>
      <c r="E168" s="24" t="s">
        <v>113</v>
      </c>
      <c r="F168" s="24" t="s">
        <v>62</v>
      </c>
      <c r="G168" s="24" t="s">
        <v>235</v>
      </c>
      <c r="H168" s="24">
        <v>31</v>
      </c>
      <c r="I168" s="24">
        <v>1860</v>
      </c>
      <c r="J168" s="37">
        <f t="shared" si="2"/>
        <v>13020</v>
      </c>
      <c r="K168" s="25" t="s">
        <v>296</v>
      </c>
    </row>
    <row r="169" spans="1:11" x14ac:dyDescent="0.3">
      <c r="A169" s="42" t="s">
        <v>201</v>
      </c>
      <c r="B169" s="4" t="s">
        <v>82</v>
      </c>
      <c r="C169" s="24" t="s">
        <v>229</v>
      </c>
      <c r="D169" s="44" t="s">
        <v>9</v>
      </c>
      <c r="E169" s="42" t="s">
        <v>113</v>
      </c>
      <c r="F169" s="42" t="s">
        <v>67</v>
      </c>
      <c r="G169" s="42" t="s">
        <v>235</v>
      </c>
      <c r="H169" s="42">
        <v>17</v>
      </c>
      <c r="I169" s="42">
        <v>1020</v>
      </c>
      <c r="J169" s="37">
        <f t="shared" si="2"/>
        <v>7140</v>
      </c>
      <c r="K169" s="49" t="s">
        <v>296</v>
      </c>
    </row>
    <row r="170" spans="1:11" x14ac:dyDescent="0.3">
      <c r="A170" s="24" t="s">
        <v>202</v>
      </c>
      <c r="B170" s="4" t="s">
        <v>166</v>
      </c>
      <c r="C170" s="24" t="s">
        <v>229</v>
      </c>
      <c r="D170" s="23" t="s">
        <v>9</v>
      </c>
      <c r="E170" s="24" t="s">
        <v>113</v>
      </c>
      <c r="F170" s="24" t="s">
        <v>67</v>
      </c>
      <c r="G170" s="24" t="s">
        <v>235</v>
      </c>
      <c r="H170" s="24">
        <v>21</v>
      </c>
      <c r="I170" s="24">
        <v>1260</v>
      </c>
      <c r="J170" s="37">
        <f t="shared" si="2"/>
        <v>8820</v>
      </c>
      <c r="K170" s="25" t="s">
        <v>296</v>
      </c>
    </row>
    <row r="171" spans="1:11" x14ac:dyDescent="0.3">
      <c r="A171" s="42" t="s">
        <v>203</v>
      </c>
      <c r="B171" s="4" t="s">
        <v>109</v>
      </c>
      <c r="C171" s="24" t="s">
        <v>229</v>
      </c>
      <c r="D171" s="44" t="s">
        <v>9</v>
      </c>
      <c r="E171" s="42" t="s">
        <v>113</v>
      </c>
      <c r="F171" s="42" t="s">
        <v>67</v>
      </c>
      <c r="G171" s="42" t="s">
        <v>235</v>
      </c>
      <c r="H171" s="42">
        <v>61</v>
      </c>
      <c r="I171" s="42">
        <v>3660</v>
      </c>
      <c r="J171" s="37">
        <f t="shared" si="2"/>
        <v>25620</v>
      </c>
      <c r="K171" s="49" t="s">
        <v>292</v>
      </c>
    </row>
    <row r="172" spans="1:11" x14ac:dyDescent="0.3">
      <c r="A172" s="24" t="s">
        <v>204</v>
      </c>
      <c r="B172" s="4" t="s">
        <v>103</v>
      </c>
      <c r="C172" s="24" t="s">
        <v>229</v>
      </c>
      <c r="D172" s="23" t="s">
        <v>9</v>
      </c>
      <c r="E172" s="24" t="s">
        <v>113</v>
      </c>
      <c r="F172" s="24" t="s">
        <v>67</v>
      </c>
      <c r="G172" s="24" t="s">
        <v>235</v>
      </c>
      <c r="H172" s="24">
        <v>48</v>
      </c>
      <c r="I172" s="24">
        <v>2880</v>
      </c>
      <c r="J172" s="37">
        <f t="shared" si="2"/>
        <v>20160</v>
      </c>
      <c r="K172" s="25" t="s">
        <v>292</v>
      </c>
    </row>
    <row r="173" spans="1:11" x14ac:dyDescent="0.3">
      <c r="A173" s="42" t="s">
        <v>205</v>
      </c>
      <c r="B173" s="4" t="s">
        <v>83</v>
      </c>
      <c r="C173" s="24" t="s">
        <v>229</v>
      </c>
      <c r="D173" s="44" t="s">
        <v>233</v>
      </c>
      <c r="E173" s="42" t="s">
        <v>113</v>
      </c>
      <c r="F173" s="42" t="s">
        <v>67</v>
      </c>
      <c r="G173" s="42" t="s">
        <v>235</v>
      </c>
      <c r="H173" s="42">
        <v>43</v>
      </c>
      <c r="I173" s="42">
        <v>2580</v>
      </c>
      <c r="J173" s="37">
        <f t="shared" si="2"/>
        <v>18060</v>
      </c>
      <c r="K173" s="49" t="s">
        <v>292</v>
      </c>
    </row>
    <row r="174" spans="1:11" x14ac:dyDescent="0.3">
      <c r="A174" s="24" t="s">
        <v>206</v>
      </c>
      <c r="B174" s="4" t="s">
        <v>173</v>
      </c>
      <c r="C174" s="24" t="s">
        <v>229</v>
      </c>
      <c r="D174" s="23" t="s">
        <v>233</v>
      </c>
      <c r="E174" s="24" t="s">
        <v>113</v>
      </c>
      <c r="F174" s="24" t="s">
        <v>67</v>
      </c>
      <c r="G174" s="24" t="s">
        <v>235</v>
      </c>
      <c r="H174" s="24">
        <v>34</v>
      </c>
      <c r="I174" s="24">
        <v>2040</v>
      </c>
      <c r="J174" s="37">
        <f t="shared" si="2"/>
        <v>14280</v>
      </c>
      <c r="K174" s="25" t="s">
        <v>292</v>
      </c>
    </row>
    <row r="175" spans="1:11" x14ac:dyDescent="0.3">
      <c r="A175" s="42" t="s">
        <v>207</v>
      </c>
      <c r="B175" s="4" t="s">
        <v>104</v>
      </c>
      <c r="C175" s="24" t="s">
        <v>229</v>
      </c>
      <c r="D175" s="44" t="s">
        <v>233</v>
      </c>
      <c r="E175" s="42" t="s">
        <v>113</v>
      </c>
      <c r="F175" s="42" t="s">
        <v>67</v>
      </c>
      <c r="G175" s="42" t="s">
        <v>235</v>
      </c>
      <c r="H175" s="42">
        <v>10</v>
      </c>
      <c r="I175" s="42">
        <v>600</v>
      </c>
      <c r="J175" s="37">
        <f t="shared" si="2"/>
        <v>4200</v>
      </c>
      <c r="K175" s="49" t="s">
        <v>292</v>
      </c>
    </row>
    <row r="176" spans="1:11" x14ac:dyDescent="0.3">
      <c r="A176" s="24" t="s">
        <v>208</v>
      </c>
      <c r="B176" s="4" t="s">
        <v>174</v>
      </c>
      <c r="C176" s="24" t="s">
        <v>229</v>
      </c>
      <c r="D176" s="23" t="s">
        <v>233</v>
      </c>
      <c r="E176" s="24" t="s">
        <v>113</v>
      </c>
      <c r="F176" s="24" t="s">
        <v>67</v>
      </c>
      <c r="G176" s="24" t="s">
        <v>235</v>
      </c>
      <c r="H176" s="24">
        <v>79</v>
      </c>
      <c r="I176" s="24">
        <v>4740</v>
      </c>
      <c r="J176" s="37">
        <f t="shared" si="2"/>
        <v>33180</v>
      </c>
      <c r="K176" s="25" t="s">
        <v>292</v>
      </c>
    </row>
    <row r="177" spans="1:11" x14ac:dyDescent="0.3">
      <c r="A177" s="42" t="s">
        <v>209</v>
      </c>
      <c r="B177" s="4" t="s">
        <v>81</v>
      </c>
      <c r="C177" s="24" t="s">
        <v>229</v>
      </c>
      <c r="D177" s="44" t="s">
        <v>233</v>
      </c>
      <c r="E177" s="42" t="s">
        <v>113</v>
      </c>
      <c r="F177" s="42" t="s">
        <v>67</v>
      </c>
      <c r="G177" s="42" t="s">
        <v>235</v>
      </c>
      <c r="H177" s="42">
        <v>69</v>
      </c>
      <c r="I177" s="42">
        <v>4140</v>
      </c>
      <c r="J177" s="37">
        <f t="shared" si="2"/>
        <v>28980</v>
      </c>
      <c r="K177" s="49" t="s">
        <v>292</v>
      </c>
    </row>
    <row r="178" spans="1:11" x14ac:dyDescent="0.3">
      <c r="A178" s="24" t="s">
        <v>210</v>
      </c>
      <c r="B178" s="4" t="s">
        <v>82</v>
      </c>
      <c r="C178" s="24" t="s">
        <v>229</v>
      </c>
      <c r="D178" s="23" t="s">
        <v>233</v>
      </c>
      <c r="E178" s="24" t="s">
        <v>113</v>
      </c>
      <c r="F178" s="24" t="s">
        <v>67</v>
      </c>
      <c r="G178" s="24" t="s">
        <v>235</v>
      </c>
      <c r="H178" s="24">
        <v>47</v>
      </c>
      <c r="I178" s="24">
        <v>2820</v>
      </c>
      <c r="J178" s="37">
        <f t="shared" si="2"/>
        <v>19740</v>
      </c>
      <c r="K178" s="25" t="s">
        <v>292</v>
      </c>
    </row>
    <row r="179" spans="1:11" x14ac:dyDescent="0.3">
      <c r="A179" s="42" t="s">
        <v>211</v>
      </c>
      <c r="B179" s="4" t="s">
        <v>103</v>
      </c>
      <c r="C179" s="24" t="s">
        <v>229</v>
      </c>
      <c r="D179" s="44" t="s">
        <v>233</v>
      </c>
      <c r="E179" s="42" t="s">
        <v>18</v>
      </c>
      <c r="F179" s="42" t="s">
        <v>67</v>
      </c>
      <c r="G179" s="42" t="s">
        <v>235</v>
      </c>
      <c r="H179" s="42">
        <v>22</v>
      </c>
      <c r="I179" s="42">
        <v>1320</v>
      </c>
      <c r="J179" s="37">
        <f t="shared" si="2"/>
        <v>9240</v>
      </c>
      <c r="K179" s="49" t="s">
        <v>292</v>
      </c>
    </row>
    <row r="180" spans="1:11" x14ac:dyDescent="0.3">
      <c r="A180" s="24" t="s">
        <v>212</v>
      </c>
      <c r="B180" s="4" t="s">
        <v>80</v>
      </c>
      <c r="C180" s="24" t="s">
        <v>229</v>
      </c>
      <c r="D180" s="23" t="s">
        <v>233</v>
      </c>
      <c r="E180" s="24" t="s">
        <v>18</v>
      </c>
      <c r="F180" s="24" t="s">
        <v>67</v>
      </c>
      <c r="G180" s="24" t="s">
        <v>235</v>
      </c>
      <c r="H180" s="24">
        <v>56</v>
      </c>
      <c r="I180" s="24">
        <v>3360</v>
      </c>
      <c r="J180" s="37">
        <f t="shared" si="2"/>
        <v>23520</v>
      </c>
      <c r="K180" s="25" t="s">
        <v>292</v>
      </c>
    </row>
    <row r="181" spans="1:11" x14ac:dyDescent="0.3">
      <c r="A181" s="42" t="s">
        <v>213</v>
      </c>
      <c r="B181" s="4" t="s">
        <v>86</v>
      </c>
      <c r="C181" s="24" t="s">
        <v>229</v>
      </c>
      <c r="D181" s="44" t="s">
        <v>233</v>
      </c>
      <c r="E181" s="42" t="s">
        <v>18</v>
      </c>
      <c r="F181" s="42" t="s">
        <v>67</v>
      </c>
      <c r="G181" s="42" t="s">
        <v>235</v>
      </c>
      <c r="H181" s="42">
        <v>38</v>
      </c>
      <c r="I181" s="42">
        <v>2280</v>
      </c>
      <c r="J181" s="37">
        <f t="shared" si="2"/>
        <v>15960</v>
      </c>
      <c r="K181" s="49" t="s">
        <v>292</v>
      </c>
    </row>
    <row r="182" spans="1:11" x14ac:dyDescent="0.3">
      <c r="A182" s="24" t="s">
        <v>214</v>
      </c>
      <c r="B182" s="4" t="s">
        <v>85</v>
      </c>
      <c r="C182" s="24" t="s">
        <v>229</v>
      </c>
      <c r="D182" s="23" t="s">
        <v>233</v>
      </c>
      <c r="E182" s="24" t="s">
        <v>18</v>
      </c>
      <c r="F182" s="24" t="s">
        <v>234</v>
      </c>
      <c r="G182" s="24" t="s">
        <v>235</v>
      </c>
      <c r="H182" s="24">
        <v>39</v>
      </c>
      <c r="I182" s="24">
        <v>2340</v>
      </c>
      <c r="J182" s="37">
        <f t="shared" si="2"/>
        <v>16380</v>
      </c>
      <c r="K182" s="25" t="s">
        <v>292</v>
      </c>
    </row>
    <row r="183" spans="1:11" x14ac:dyDescent="0.3">
      <c r="A183" s="42" t="s">
        <v>215</v>
      </c>
      <c r="B183" s="4" t="s">
        <v>167</v>
      </c>
      <c r="C183" s="24" t="s">
        <v>229</v>
      </c>
      <c r="D183" s="44" t="s">
        <v>233</v>
      </c>
      <c r="E183" s="42" t="s">
        <v>18</v>
      </c>
      <c r="F183" s="42" t="s">
        <v>62</v>
      </c>
      <c r="G183" s="42" t="s">
        <v>235</v>
      </c>
      <c r="H183" s="42">
        <v>19</v>
      </c>
      <c r="I183" s="42">
        <v>1140</v>
      </c>
      <c r="J183" s="37">
        <f t="shared" si="2"/>
        <v>7980</v>
      </c>
      <c r="K183" s="49" t="s">
        <v>292</v>
      </c>
    </row>
    <row r="184" spans="1:11" x14ac:dyDescent="0.3">
      <c r="A184" s="24" t="s">
        <v>216</v>
      </c>
      <c r="B184" s="4" t="s">
        <v>81</v>
      </c>
      <c r="C184" s="24" t="s">
        <v>229</v>
      </c>
      <c r="D184" s="23" t="s">
        <v>233</v>
      </c>
      <c r="E184" s="24" t="s">
        <v>18</v>
      </c>
      <c r="F184" s="24" t="s">
        <v>64</v>
      </c>
      <c r="G184" s="24" t="s">
        <v>235</v>
      </c>
      <c r="H184" s="24">
        <v>44</v>
      </c>
      <c r="I184" s="24">
        <v>2640</v>
      </c>
      <c r="J184" s="37">
        <f t="shared" si="2"/>
        <v>18480</v>
      </c>
      <c r="K184" s="25" t="s">
        <v>292</v>
      </c>
    </row>
    <row r="185" spans="1:11" x14ac:dyDescent="0.3">
      <c r="A185" s="42" t="s">
        <v>217</v>
      </c>
      <c r="B185" s="4" t="s">
        <v>166</v>
      </c>
      <c r="C185" s="24" t="s">
        <v>229</v>
      </c>
      <c r="D185" s="44" t="s">
        <v>9</v>
      </c>
      <c r="E185" s="42" t="s">
        <v>18</v>
      </c>
      <c r="F185" s="42" t="s">
        <v>64</v>
      </c>
      <c r="G185" s="42" t="s">
        <v>235</v>
      </c>
      <c r="H185" s="42">
        <v>41</v>
      </c>
      <c r="I185" s="42">
        <v>2460</v>
      </c>
      <c r="J185" s="37">
        <f t="shared" si="2"/>
        <v>17220</v>
      </c>
      <c r="K185" s="49" t="s">
        <v>292</v>
      </c>
    </row>
    <row r="186" spans="1:11" x14ac:dyDescent="0.3">
      <c r="A186" s="24" t="s">
        <v>218</v>
      </c>
      <c r="B186" s="4" t="s">
        <v>169</v>
      </c>
      <c r="C186" s="24" t="s">
        <v>229</v>
      </c>
      <c r="D186" s="23" t="s">
        <v>9</v>
      </c>
      <c r="E186" s="24" t="s">
        <v>18</v>
      </c>
      <c r="F186" s="24" t="s">
        <v>64</v>
      </c>
      <c r="G186" s="24" t="s">
        <v>235</v>
      </c>
      <c r="H186" s="24">
        <v>36</v>
      </c>
      <c r="I186" s="24">
        <v>2160</v>
      </c>
      <c r="J186" s="37">
        <f t="shared" si="2"/>
        <v>15120</v>
      </c>
      <c r="K186" s="25" t="s">
        <v>292</v>
      </c>
    </row>
    <row r="187" spans="1:11" x14ac:dyDescent="0.3">
      <c r="A187" s="42" t="s">
        <v>219</v>
      </c>
      <c r="B187" s="4" t="s">
        <v>168</v>
      </c>
      <c r="C187" s="24" t="s">
        <v>229</v>
      </c>
      <c r="D187" s="44" t="s">
        <v>9</v>
      </c>
      <c r="E187" s="42" t="s">
        <v>18</v>
      </c>
      <c r="F187" s="42" t="s">
        <v>64</v>
      </c>
      <c r="G187" s="42" t="s">
        <v>69</v>
      </c>
      <c r="H187" s="42">
        <v>56</v>
      </c>
      <c r="I187" s="42">
        <v>3360</v>
      </c>
      <c r="J187" s="37">
        <f t="shared" si="2"/>
        <v>23520</v>
      </c>
      <c r="K187" s="49" t="s">
        <v>292</v>
      </c>
    </row>
    <row r="188" spans="1:11" x14ac:dyDescent="0.3">
      <c r="A188" s="24" t="s">
        <v>220</v>
      </c>
      <c r="B188" s="4" t="s">
        <v>83</v>
      </c>
      <c r="C188" s="24" t="s">
        <v>229</v>
      </c>
      <c r="D188" s="23" t="s">
        <v>9</v>
      </c>
      <c r="E188" s="24" t="s">
        <v>18</v>
      </c>
      <c r="F188" s="24" t="s">
        <v>64</v>
      </c>
      <c r="G188" s="24" t="s">
        <v>69</v>
      </c>
      <c r="H188" s="24">
        <v>71</v>
      </c>
      <c r="I188" s="24">
        <v>4260</v>
      </c>
      <c r="J188" s="37">
        <f t="shared" si="2"/>
        <v>29820</v>
      </c>
      <c r="K188" s="25" t="s">
        <v>292</v>
      </c>
    </row>
    <row r="189" spans="1:11" x14ac:dyDescent="0.3">
      <c r="A189" s="42" t="s">
        <v>221</v>
      </c>
      <c r="B189" s="4" t="s">
        <v>106</v>
      </c>
      <c r="C189" s="24" t="s">
        <v>229</v>
      </c>
      <c r="D189" s="44" t="s">
        <v>9</v>
      </c>
      <c r="E189" s="42" t="s">
        <v>18</v>
      </c>
      <c r="F189" s="42" t="s">
        <v>64</v>
      </c>
      <c r="G189" s="42" t="s">
        <v>69</v>
      </c>
      <c r="H189" s="42">
        <v>29</v>
      </c>
      <c r="I189" s="42">
        <v>1740</v>
      </c>
      <c r="J189" s="37">
        <f t="shared" si="2"/>
        <v>12180</v>
      </c>
      <c r="K189" s="49" t="s">
        <v>292</v>
      </c>
    </row>
    <row r="190" spans="1:11" x14ac:dyDescent="0.3">
      <c r="A190" s="24" t="s">
        <v>222</v>
      </c>
      <c r="B190" s="4" t="s">
        <v>109</v>
      </c>
      <c r="C190" s="24" t="s">
        <v>229</v>
      </c>
      <c r="D190" s="23" t="s">
        <v>9</v>
      </c>
      <c r="E190" s="24" t="s">
        <v>18</v>
      </c>
      <c r="F190" s="24" t="s">
        <v>64</v>
      </c>
      <c r="G190" s="24" t="s">
        <v>69</v>
      </c>
      <c r="H190" s="24">
        <v>56</v>
      </c>
      <c r="I190" s="24">
        <v>3360</v>
      </c>
      <c r="J190" s="37">
        <f t="shared" si="2"/>
        <v>23520</v>
      </c>
      <c r="K190" s="25" t="s">
        <v>292</v>
      </c>
    </row>
    <row r="191" spans="1:11" x14ac:dyDescent="0.3">
      <c r="A191" s="42" t="s">
        <v>223</v>
      </c>
      <c r="B191" s="4" t="s">
        <v>230</v>
      </c>
      <c r="C191" s="24" t="s">
        <v>229</v>
      </c>
      <c r="D191" s="44" t="s">
        <v>9</v>
      </c>
      <c r="E191" s="42" t="s">
        <v>18</v>
      </c>
      <c r="F191" s="42" t="s">
        <v>64</v>
      </c>
      <c r="G191" s="42" t="s">
        <v>69</v>
      </c>
      <c r="H191" s="42">
        <v>71</v>
      </c>
      <c r="I191" s="42">
        <v>4260</v>
      </c>
      <c r="J191" s="37">
        <f t="shared" si="2"/>
        <v>29820</v>
      </c>
      <c r="K191" s="49" t="s">
        <v>292</v>
      </c>
    </row>
    <row r="192" spans="1:11" x14ac:dyDescent="0.3">
      <c r="A192" s="24" t="s">
        <v>224</v>
      </c>
      <c r="B192" s="4" t="s">
        <v>174</v>
      </c>
      <c r="C192" s="24" t="s">
        <v>229</v>
      </c>
      <c r="D192" s="23" t="s">
        <v>9</v>
      </c>
      <c r="E192" s="24" t="s">
        <v>18</v>
      </c>
      <c r="F192" s="24" t="s">
        <v>64</v>
      </c>
      <c r="G192" s="24" t="s">
        <v>69</v>
      </c>
      <c r="H192" s="24">
        <v>44</v>
      </c>
      <c r="I192" s="24">
        <v>2640</v>
      </c>
      <c r="J192" s="37">
        <f t="shared" si="2"/>
        <v>18480</v>
      </c>
      <c r="K192" s="25" t="s">
        <v>292</v>
      </c>
    </row>
    <row r="193" spans="1:11" x14ac:dyDescent="0.3">
      <c r="A193" s="42" t="s">
        <v>225</v>
      </c>
      <c r="B193" s="4" t="s">
        <v>231</v>
      </c>
      <c r="C193" s="24" t="s">
        <v>229</v>
      </c>
      <c r="D193" s="44" t="s">
        <v>9</v>
      </c>
      <c r="E193" s="42" t="s">
        <v>18</v>
      </c>
      <c r="F193" s="42" t="s">
        <v>64</v>
      </c>
      <c r="G193" s="42" t="s">
        <v>69</v>
      </c>
      <c r="H193" s="42">
        <v>41</v>
      </c>
      <c r="I193" s="42">
        <v>2460</v>
      </c>
      <c r="J193" s="37">
        <f t="shared" si="2"/>
        <v>17220</v>
      </c>
      <c r="K193" s="49" t="s">
        <v>292</v>
      </c>
    </row>
    <row r="194" spans="1:11" x14ac:dyDescent="0.3">
      <c r="A194" s="24" t="s">
        <v>226</v>
      </c>
      <c r="B194" s="4" t="s">
        <v>81</v>
      </c>
      <c r="C194" s="24" t="s">
        <v>229</v>
      </c>
      <c r="D194" s="23" t="s">
        <v>233</v>
      </c>
      <c r="E194" s="24" t="s">
        <v>18</v>
      </c>
      <c r="F194" s="24" t="s">
        <v>64</v>
      </c>
      <c r="G194" s="24" t="s">
        <v>69</v>
      </c>
      <c r="H194" s="24">
        <v>14</v>
      </c>
      <c r="I194" s="24">
        <v>840</v>
      </c>
      <c r="J194" s="37">
        <f t="shared" si="2"/>
        <v>5880</v>
      </c>
      <c r="K194" s="25" t="s">
        <v>292</v>
      </c>
    </row>
    <row r="195" spans="1:11" x14ac:dyDescent="0.3">
      <c r="A195" s="42" t="s">
        <v>227</v>
      </c>
      <c r="B195" s="4" t="s">
        <v>104</v>
      </c>
      <c r="C195" s="24" t="s">
        <v>229</v>
      </c>
      <c r="D195" s="44" t="s">
        <v>233</v>
      </c>
      <c r="E195" s="42" t="s">
        <v>18</v>
      </c>
      <c r="F195" s="42" t="s">
        <v>64</v>
      </c>
      <c r="G195" s="42" t="s">
        <v>69</v>
      </c>
      <c r="H195" s="42">
        <v>36</v>
      </c>
      <c r="I195" s="42">
        <v>2160</v>
      </c>
      <c r="J195" s="37">
        <f t="shared" ref="J195:J246" si="3">I195*7</f>
        <v>15120</v>
      </c>
      <c r="K195" s="49" t="s">
        <v>292</v>
      </c>
    </row>
    <row r="196" spans="1:11" x14ac:dyDescent="0.3">
      <c r="A196" s="24" t="s">
        <v>228</v>
      </c>
      <c r="B196" s="9" t="s">
        <v>86</v>
      </c>
      <c r="C196" s="27" t="s">
        <v>229</v>
      </c>
      <c r="D196" s="23" t="s">
        <v>233</v>
      </c>
      <c r="E196" s="24" t="s">
        <v>18</v>
      </c>
      <c r="F196" s="24" t="s">
        <v>64</v>
      </c>
      <c r="G196" s="24" t="s">
        <v>69</v>
      </c>
      <c r="H196" s="24">
        <v>28</v>
      </c>
      <c r="I196" s="24">
        <v>1680</v>
      </c>
      <c r="J196" s="37">
        <f t="shared" si="3"/>
        <v>11760</v>
      </c>
      <c r="K196" s="25" t="s">
        <v>292</v>
      </c>
    </row>
    <row r="197" spans="1:11" x14ac:dyDescent="0.3">
      <c r="A197" s="35" t="s">
        <v>236</v>
      </c>
      <c r="B197" s="4" t="s">
        <v>109</v>
      </c>
      <c r="C197" s="6" t="s">
        <v>287</v>
      </c>
      <c r="D197" s="43" t="s">
        <v>232</v>
      </c>
      <c r="E197" s="35" t="s">
        <v>14</v>
      </c>
      <c r="F197" s="35" t="s">
        <v>67</v>
      </c>
      <c r="G197" s="35" t="s">
        <v>69</v>
      </c>
      <c r="H197" s="35">
        <v>5400</v>
      </c>
      <c r="I197" s="35">
        <v>324000</v>
      </c>
      <c r="J197" s="37">
        <f t="shared" si="3"/>
        <v>2268000</v>
      </c>
      <c r="K197" s="45" t="s">
        <v>292</v>
      </c>
    </row>
    <row r="198" spans="1:11" x14ac:dyDescent="0.3">
      <c r="A198" s="6" t="s">
        <v>237</v>
      </c>
      <c r="B198" s="4" t="s">
        <v>166</v>
      </c>
      <c r="C198" s="6" t="s">
        <v>287</v>
      </c>
      <c r="D198" s="16" t="s">
        <v>232</v>
      </c>
      <c r="E198" s="6" t="s">
        <v>14</v>
      </c>
      <c r="F198" s="6" t="s">
        <v>67</v>
      </c>
      <c r="G198" s="6" t="s">
        <v>69</v>
      </c>
      <c r="H198" s="6">
        <v>1254</v>
      </c>
      <c r="I198" s="6">
        <v>75240</v>
      </c>
      <c r="J198" s="37">
        <f t="shared" si="3"/>
        <v>526680</v>
      </c>
      <c r="K198" s="46" t="s">
        <v>292</v>
      </c>
    </row>
    <row r="199" spans="1:11" x14ac:dyDescent="0.3">
      <c r="A199" s="35" t="s">
        <v>238</v>
      </c>
      <c r="B199" s="4" t="s">
        <v>104</v>
      </c>
      <c r="C199" s="6" t="s">
        <v>287</v>
      </c>
      <c r="D199" s="43" t="s">
        <v>232</v>
      </c>
      <c r="E199" s="35" t="s">
        <v>14</v>
      </c>
      <c r="F199" s="35" t="s">
        <v>67</v>
      </c>
      <c r="G199" s="35" t="s">
        <v>69</v>
      </c>
      <c r="H199" s="35">
        <v>4587</v>
      </c>
      <c r="I199" s="35">
        <v>275220</v>
      </c>
      <c r="J199" s="37">
        <f t="shared" si="3"/>
        <v>1926540</v>
      </c>
      <c r="K199" s="45" t="s">
        <v>292</v>
      </c>
    </row>
    <row r="200" spans="1:11" x14ac:dyDescent="0.3">
      <c r="A200" s="6" t="s">
        <v>239</v>
      </c>
      <c r="B200" s="4" t="s">
        <v>80</v>
      </c>
      <c r="C200" s="6" t="s">
        <v>287</v>
      </c>
      <c r="D200" s="16" t="s">
        <v>232</v>
      </c>
      <c r="E200" s="6" t="s">
        <v>14</v>
      </c>
      <c r="F200" s="6" t="s">
        <v>67</v>
      </c>
      <c r="G200" s="6" t="s">
        <v>69</v>
      </c>
      <c r="H200" s="6">
        <v>5668</v>
      </c>
      <c r="I200" s="6">
        <v>340080</v>
      </c>
      <c r="J200" s="37">
        <f t="shared" si="3"/>
        <v>2380560</v>
      </c>
      <c r="K200" s="46" t="s">
        <v>292</v>
      </c>
    </row>
    <row r="201" spans="1:11" x14ac:dyDescent="0.3">
      <c r="A201" s="35" t="s">
        <v>240</v>
      </c>
      <c r="B201" s="4" t="s">
        <v>89</v>
      </c>
      <c r="C201" s="6" t="s">
        <v>287</v>
      </c>
      <c r="D201" s="43" t="s">
        <v>232</v>
      </c>
      <c r="E201" s="35" t="s">
        <v>14</v>
      </c>
      <c r="F201" s="35" t="s">
        <v>67</v>
      </c>
      <c r="G201" s="35" t="s">
        <v>69</v>
      </c>
      <c r="H201" s="35">
        <v>5221</v>
      </c>
      <c r="I201" s="35">
        <v>313260</v>
      </c>
      <c r="J201" s="37">
        <f t="shared" si="3"/>
        <v>2192820</v>
      </c>
      <c r="K201" s="45" t="s">
        <v>292</v>
      </c>
    </row>
    <row r="202" spans="1:11" x14ac:dyDescent="0.3">
      <c r="A202" s="6" t="s">
        <v>241</v>
      </c>
      <c r="B202" s="4" t="s">
        <v>82</v>
      </c>
      <c r="C202" s="6" t="s">
        <v>287</v>
      </c>
      <c r="D202" s="16" t="s">
        <v>232</v>
      </c>
      <c r="E202" s="6" t="s">
        <v>14</v>
      </c>
      <c r="F202" s="6" t="s">
        <v>67</v>
      </c>
      <c r="G202" s="6" t="s">
        <v>69</v>
      </c>
      <c r="H202" s="6">
        <v>4998</v>
      </c>
      <c r="I202" s="6">
        <v>299880</v>
      </c>
      <c r="J202" s="37">
        <f t="shared" si="3"/>
        <v>2099160</v>
      </c>
      <c r="K202" s="46" t="s">
        <v>292</v>
      </c>
    </row>
    <row r="203" spans="1:11" x14ac:dyDescent="0.3">
      <c r="A203" s="35" t="s">
        <v>242</v>
      </c>
      <c r="B203" s="4" t="s">
        <v>81</v>
      </c>
      <c r="C203" s="6" t="s">
        <v>287</v>
      </c>
      <c r="D203" s="43" t="s">
        <v>232</v>
      </c>
      <c r="E203" s="35" t="s">
        <v>14</v>
      </c>
      <c r="F203" s="35" t="s">
        <v>67</v>
      </c>
      <c r="G203" s="35" t="s">
        <v>69</v>
      </c>
      <c r="H203" s="35">
        <v>4665</v>
      </c>
      <c r="I203" s="35">
        <v>279900</v>
      </c>
      <c r="J203" s="37">
        <f t="shared" si="3"/>
        <v>1959300</v>
      </c>
      <c r="K203" s="45" t="s">
        <v>292</v>
      </c>
    </row>
    <row r="204" spans="1:11" x14ac:dyDescent="0.3">
      <c r="A204" s="6" t="s">
        <v>243</v>
      </c>
      <c r="B204" s="4" t="s">
        <v>103</v>
      </c>
      <c r="C204" s="6" t="s">
        <v>287</v>
      </c>
      <c r="D204" s="16" t="s">
        <v>233</v>
      </c>
      <c r="E204" s="6" t="s">
        <v>14</v>
      </c>
      <c r="F204" s="6" t="s">
        <v>67</v>
      </c>
      <c r="G204" s="6" t="s">
        <v>69</v>
      </c>
      <c r="H204" s="6">
        <v>3223</v>
      </c>
      <c r="I204" s="6">
        <v>193380</v>
      </c>
      <c r="J204" s="37">
        <f t="shared" si="3"/>
        <v>1353660</v>
      </c>
      <c r="K204" s="46" t="s">
        <v>292</v>
      </c>
    </row>
    <row r="205" spans="1:11" x14ac:dyDescent="0.3">
      <c r="A205" s="35" t="s">
        <v>244</v>
      </c>
      <c r="B205" s="4" t="s">
        <v>169</v>
      </c>
      <c r="C205" s="6" t="s">
        <v>287</v>
      </c>
      <c r="D205" s="43" t="s">
        <v>233</v>
      </c>
      <c r="E205" s="35" t="s">
        <v>14</v>
      </c>
      <c r="F205" s="35" t="s">
        <v>67</v>
      </c>
      <c r="G205" s="35" t="s">
        <v>69</v>
      </c>
      <c r="H205" s="35">
        <v>3333</v>
      </c>
      <c r="I205" s="35">
        <v>199980</v>
      </c>
      <c r="J205" s="37">
        <f t="shared" si="3"/>
        <v>1399860</v>
      </c>
      <c r="K205" s="45" t="s">
        <v>292</v>
      </c>
    </row>
    <row r="206" spans="1:11" x14ac:dyDescent="0.3">
      <c r="A206" s="6" t="s">
        <v>245</v>
      </c>
      <c r="B206" s="4" t="s">
        <v>285</v>
      </c>
      <c r="C206" s="6" t="s">
        <v>287</v>
      </c>
      <c r="D206" s="16" t="s">
        <v>233</v>
      </c>
      <c r="E206" s="6" t="s">
        <v>14</v>
      </c>
      <c r="F206" s="6" t="s">
        <v>62</v>
      </c>
      <c r="G206" s="6" t="s">
        <v>69</v>
      </c>
      <c r="H206" s="6">
        <v>2222</v>
      </c>
      <c r="I206" s="6">
        <v>133320</v>
      </c>
      <c r="J206" s="37">
        <f t="shared" si="3"/>
        <v>933240</v>
      </c>
      <c r="K206" s="46" t="s">
        <v>292</v>
      </c>
    </row>
    <row r="207" spans="1:11" x14ac:dyDescent="0.3">
      <c r="A207" s="35" t="s">
        <v>246</v>
      </c>
      <c r="B207" s="4" t="s">
        <v>80</v>
      </c>
      <c r="C207" s="6" t="s">
        <v>287</v>
      </c>
      <c r="D207" s="43" t="s">
        <v>233</v>
      </c>
      <c r="E207" s="35" t="s">
        <v>14</v>
      </c>
      <c r="F207" s="35" t="s">
        <v>67</v>
      </c>
      <c r="G207" s="35" t="s">
        <v>69</v>
      </c>
      <c r="H207" s="35">
        <v>1212</v>
      </c>
      <c r="I207" s="35">
        <v>72720</v>
      </c>
      <c r="J207" s="37">
        <f t="shared" si="3"/>
        <v>509040</v>
      </c>
      <c r="K207" s="45" t="s">
        <v>292</v>
      </c>
    </row>
    <row r="208" spans="1:11" x14ac:dyDescent="0.3">
      <c r="A208" s="6" t="s">
        <v>247</v>
      </c>
      <c r="B208" s="4" t="s">
        <v>82</v>
      </c>
      <c r="C208" s="6" t="s">
        <v>287</v>
      </c>
      <c r="D208" s="16" t="s">
        <v>233</v>
      </c>
      <c r="E208" s="6" t="s">
        <v>14</v>
      </c>
      <c r="F208" s="6" t="s">
        <v>11</v>
      </c>
      <c r="G208" s="6" t="s">
        <v>235</v>
      </c>
      <c r="H208" s="6">
        <v>1313</v>
      </c>
      <c r="I208" s="6">
        <v>78780</v>
      </c>
      <c r="J208" s="37">
        <f t="shared" si="3"/>
        <v>551460</v>
      </c>
      <c r="K208" s="46" t="s">
        <v>292</v>
      </c>
    </row>
    <row r="209" spans="1:11" x14ac:dyDescent="0.3">
      <c r="A209" s="35" t="s">
        <v>248</v>
      </c>
      <c r="B209" s="4" t="s">
        <v>81</v>
      </c>
      <c r="C209" s="6" t="s">
        <v>287</v>
      </c>
      <c r="D209" s="43" t="s">
        <v>233</v>
      </c>
      <c r="E209" s="35" t="s">
        <v>14</v>
      </c>
      <c r="F209" s="35" t="s">
        <v>67</v>
      </c>
      <c r="G209" s="35" t="s">
        <v>235</v>
      </c>
      <c r="H209" s="35">
        <v>1991</v>
      </c>
      <c r="I209" s="35">
        <v>119460</v>
      </c>
      <c r="J209" s="37">
        <f t="shared" si="3"/>
        <v>836220</v>
      </c>
      <c r="K209" s="45" t="s">
        <v>292</v>
      </c>
    </row>
    <row r="210" spans="1:11" x14ac:dyDescent="0.3">
      <c r="A210" s="6" t="s">
        <v>249</v>
      </c>
      <c r="B210" s="4" t="s">
        <v>103</v>
      </c>
      <c r="C210" s="6" t="s">
        <v>287</v>
      </c>
      <c r="D210" s="16" t="s">
        <v>233</v>
      </c>
      <c r="E210" s="6" t="s">
        <v>14</v>
      </c>
      <c r="F210" s="6" t="s">
        <v>288</v>
      </c>
      <c r="G210" s="6" t="s">
        <v>235</v>
      </c>
      <c r="H210" s="6">
        <v>6996</v>
      </c>
      <c r="I210" s="6">
        <v>419760</v>
      </c>
      <c r="J210" s="37">
        <f t="shared" si="3"/>
        <v>2938320</v>
      </c>
      <c r="K210" s="46" t="s">
        <v>292</v>
      </c>
    </row>
    <row r="211" spans="1:11" x14ac:dyDescent="0.3">
      <c r="A211" s="35" t="s">
        <v>250</v>
      </c>
      <c r="B211" s="4" t="s">
        <v>168</v>
      </c>
      <c r="C211" s="6" t="s">
        <v>287</v>
      </c>
      <c r="D211" s="43" t="s">
        <v>233</v>
      </c>
      <c r="E211" s="35" t="s">
        <v>14</v>
      </c>
      <c r="F211" s="35" t="s">
        <v>64</v>
      </c>
      <c r="G211" s="35" t="s">
        <v>235</v>
      </c>
      <c r="H211" s="35">
        <v>4996</v>
      </c>
      <c r="I211" s="35">
        <v>299760</v>
      </c>
      <c r="J211" s="37">
        <f t="shared" si="3"/>
        <v>2098320</v>
      </c>
      <c r="K211" s="45" t="s">
        <v>292</v>
      </c>
    </row>
    <row r="212" spans="1:11" x14ac:dyDescent="0.3">
      <c r="A212" s="6" t="s">
        <v>251</v>
      </c>
      <c r="B212" s="4" t="s">
        <v>286</v>
      </c>
      <c r="C212" s="6" t="s">
        <v>287</v>
      </c>
      <c r="D212" s="16" t="s">
        <v>233</v>
      </c>
      <c r="E212" s="6" t="s">
        <v>14</v>
      </c>
      <c r="F212" s="6" t="s">
        <v>288</v>
      </c>
      <c r="G212" s="6" t="s">
        <v>235</v>
      </c>
      <c r="H212" s="6">
        <v>5995</v>
      </c>
      <c r="I212" s="6">
        <v>359700</v>
      </c>
      <c r="J212" s="37">
        <f t="shared" si="3"/>
        <v>2517900</v>
      </c>
      <c r="K212" s="17" t="s">
        <v>293</v>
      </c>
    </row>
    <row r="213" spans="1:11" x14ac:dyDescent="0.3">
      <c r="A213" s="35" t="s">
        <v>252</v>
      </c>
      <c r="B213" s="4" t="s">
        <v>83</v>
      </c>
      <c r="C213" s="6" t="s">
        <v>287</v>
      </c>
      <c r="D213" s="43" t="s">
        <v>233</v>
      </c>
      <c r="E213" s="35" t="s">
        <v>14</v>
      </c>
      <c r="F213" s="35" t="s">
        <v>289</v>
      </c>
      <c r="G213" s="35" t="s">
        <v>235</v>
      </c>
      <c r="H213" s="35">
        <v>5642</v>
      </c>
      <c r="I213" s="35">
        <v>338520</v>
      </c>
      <c r="J213" s="37">
        <f t="shared" si="3"/>
        <v>2369640</v>
      </c>
      <c r="K213" s="40" t="s">
        <v>293</v>
      </c>
    </row>
    <row r="214" spans="1:11" x14ac:dyDescent="0.3">
      <c r="A214" s="6" t="s">
        <v>253</v>
      </c>
      <c r="B214" s="4" t="s">
        <v>106</v>
      </c>
      <c r="C214" s="6" t="s">
        <v>287</v>
      </c>
      <c r="D214" s="16" t="s">
        <v>233</v>
      </c>
      <c r="E214" s="6" t="s">
        <v>14</v>
      </c>
      <c r="F214" s="6" t="s">
        <v>288</v>
      </c>
      <c r="G214" s="6" t="s">
        <v>235</v>
      </c>
      <c r="H214" s="6">
        <v>2654</v>
      </c>
      <c r="I214" s="6">
        <v>159240</v>
      </c>
      <c r="J214" s="37">
        <f t="shared" si="3"/>
        <v>1114680</v>
      </c>
      <c r="K214" s="17" t="s">
        <v>293</v>
      </c>
    </row>
    <row r="215" spans="1:11" x14ac:dyDescent="0.3">
      <c r="A215" s="35" t="s">
        <v>254</v>
      </c>
      <c r="B215" s="4" t="s">
        <v>109</v>
      </c>
      <c r="C215" s="6" t="s">
        <v>287</v>
      </c>
      <c r="D215" s="43" t="s">
        <v>112</v>
      </c>
      <c r="E215" s="35" t="s">
        <v>14</v>
      </c>
      <c r="F215" s="35" t="s">
        <v>290</v>
      </c>
      <c r="G215" s="35" t="s">
        <v>235</v>
      </c>
      <c r="H215" s="35">
        <v>2885</v>
      </c>
      <c r="I215" s="35">
        <v>173100</v>
      </c>
      <c r="J215" s="37">
        <f t="shared" si="3"/>
        <v>1211700</v>
      </c>
      <c r="K215" s="40" t="s">
        <v>293</v>
      </c>
    </row>
    <row r="216" spans="1:11" x14ac:dyDescent="0.3">
      <c r="A216" s="6" t="s">
        <v>255</v>
      </c>
      <c r="B216" s="4" t="s">
        <v>85</v>
      </c>
      <c r="C216" s="6" t="s">
        <v>287</v>
      </c>
      <c r="D216" s="16" t="s">
        <v>112</v>
      </c>
      <c r="E216" s="6" t="s">
        <v>14</v>
      </c>
      <c r="F216" s="6" t="s">
        <v>288</v>
      </c>
      <c r="G216" s="6" t="s">
        <v>235</v>
      </c>
      <c r="H216" s="6">
        <v>2995</v>
      </c>
      <c r="I216" s="6">
        <v>179700</v>
      </c>
      <c r="J216" s="37">
        <f t="shared" si="3"/>
        <v>1257900</v>
      </c>
      <c r="K216" s="17" t="s">
        <v>293</v>
      </c>
    </row>
    <row r="217" spans="1:11" x14ac:dyDescent="0.3">
      <c r="A217" s="35" t="s">
        <v>256</v>
      </c>
      <c r="B217" s="4" t="s">
        <v>86</v>
      </c>
      <c r="C217" s="6" t="s">
        <v>287</v>
      </c>
      <c r="D217" s="43" t="s">
        <v>112</v>
      </c>
      <c r="E217" s="35" t="s">
        <v>111</v>
      </c>
      <c r="F217" s="35" t="s">
        <v>291</v>
      </c>
      <c r="G217" s="35" t="s">
        <v>235</v>
      </c>
      <c r="H217" s="35">
        <v>5687</v>
      </c>
      <c r="I217" s="35">
        <v>341220</v>
      </c>
      <c r="J217" s="37">
        <f t="shared" si="3"/>
        <v>2388540</v>
      </c>
      <c r="K217" s="40" t="s">
        <v>293</v>
      </c>
    </row>
    <row r="218" spans="1:11" x14ac:dyDescent="0.3">
      <c r="A218" s="6" t="s">
        <v>257</v>
      </c>
      <c r="B218" s="4" t="s">
        <v>168</v>
      </c>
      <c r="C218" s="6" t="s">
        <v>287</v>
      </c>
      <c r="D218" s="16" t="s">
        <v>112</v>
      </c>
      <c r="E218" s="6" t="s">
        <v>111</v>
      </c>
      <c r="F218" s="6" t="s">
        <v>288</v>
      </c>
      <c r="G218" s="6" t="s">
        <v>235</v>
      </c>
      <c r="H218" s="6">
        <v>4987</v>
      </c>
      <c r="I218" s="6">
        <v>299220</v>
      </c>
      <c r="J218" s="37">
        <f t="shared" si="3"/>
        <v>2094540</v>
      </c>
      <c r="K218" s="17" t="s">
        <v>293</v>
      </c>
    </row>
    <row r="219" spans="1:11" x14ac:dyDescent="0.3">
      <c r="A219" s="35" t="s">
        <v>258</v>
      </c>
      <c r="B219" s="4" t="s">
        <v>169</v>
      </c>
      <c r="C219" s="6" t="s">
        <v>287</v>
      </c>
      <c r="D219" s="43" t="s">
        <v>112</v>
      </c>
      <c r="E219" s="35" t="s">
        <v>111</v>
      </c>
      <c r="F219" s="35" t="s">
        <v>11</v>
      </c>
      <c r="G219" s="35" t="s">
        <v>235</v>
      </c>
      <c r="H219" s="35">
        <v>6857</v>
      </c>
      <c r="I219" s="35">
        <v>411420</v>
      </c>
      <c r="J219" s="37">
        <f t="shared" si="3"/>
        <v>2879940</v>
      </c>
      <c r="K219" s="40" t="s">
        <v>293</v>
      </c>
    </row>
    <row r="220" spans="1:11" x14ac:dyDescent="0.3">
      <c r="A220" s="6" t="s">
        <v>259</v>
      </c>
      <c r="B220" s="4" t="s">
        <v>82</v>
      </c>
      <c r="C220" s="6" t="s">
        <v>287</v>
      </c>
      <c r="D220" s="16" t="s">
        <v>112</v>
      </c>
      <c r="E220" s="6" t="s">
        <v>111</v>
      </c>
      <c r="F220" s="6" t="s">
        <v>11</v>
      </c>
      <c r="G220" s="6" t="s">
        <v>235</v>
      </c>
      <c r="H220" s="6">
        <v>5623</v>
      </c>
      <c r="I220" s="6">
        <v>337380</v>
      </c>
      <c r="J220" s="37">
        <f t="shared" si="3"/>
        <v>2361660</v>
      </c>
      <c r="K220" s="17" t="s">
        <v>293</v>
      </c>
    </row>
    <row r="221" spans="1:11" x14ac:dyDescent="0.3">
      <c r="A221" s="35" t="s">
        <v>260</v>
      </c>
      <c r="B221" s="4" t="s">
        <v>166</v>
      </c>
      <c r="C221" s="6" t="s">
        <v>287</v>
      </c>
      <c r="D221" s="43" t="s">
        <v>112</v>
      </c>
      <c r="E221" s="35" t="s">
        <v>111</v>
      </c>
      <c r="F221" s="35" t="s">
        <v>11</v>
      </c>
      <c r="G221" s="35" t="s">
        <v>235</v>
      </c>
      <c r="H221" s="35">
        <v>4655</v>
      </c>
      <c r="I221" s="35">
        <v>279300</v>
      </c>
      <c r="J221" s="37">
        <f t="shared" si="3"/>
        <v>1955100</v>
      </c>
      <c r="K221" s="40" t="s">
        <v>293</v>
      </c>
    </row>
    <row r="222" spans="1:11" x14ac:dyDescent="0.3">
      <c r="A222" s="6" t="s">
        <v>261</v>
      </c>
      <c r="B222" s="4" t="s">
        <v>109</v>
      </c>
      <c r="C222" s="6" t="s">
        <v>287</v>
      </c>
      <c r="D222" s="16" t="s">
        <v>112</v>
      </c>
      <c r="E222" s="6" t="s">
        <v>111</v>
      </c>
      <c r="F222" s="6" t="s">
        <v>11</v>
      </c>
      <c r="G222" s="6" t="s">
        <v>69</v>
      </c>
      <c r="H222" s="6">
        <v>5198</v>
      </c>
      <c r="I222" s="6">
        <v>311880</v>
      </c>
      <c r="J222" s="37">
        <f t="shared" si="3"/>
        <v>2183160</v>
      </c>
      <c r="K222" s="17" t="s">
        <v>293</v>
      </c>
    </row>
    <row r="223" spans="1:11" x14ac:dyDescent="0.3">
      <c r="A223" s="35" t="s">
        <v>262</v>
      </c>
      <c r="B223" s="4" t="s">
        <v>103</v>
      </c>
      <c r="C223" s="6" t="s">
        <v>287</v>
      </c>
      <c r="D223" s="43" t="s">
        <v>9</v>
      </c>
      <c r="E223" s="35" t="s">
        <v>111</v>
      </c>
      <c r="F223" s="35" t="s">
        <v>11</v>
      </c>
      <c r="G223" s="35" t="s">
        <v>69</v>
      </c>
      <c r="H223" s="35">
        <v>6541</v>
      </c>
      <c r="I223" s="35">
        <v>392460</v>
      </c>
      <c r="J223" s="37">
        <f t="shared" si="3"/>
        <v>2747220</v>
      </c>
      <c r="K223" s="40" t="s">
        <v>293</v>
      </c>
    </row>
    <row r="224" spans="1:11" x14ac:dyDescent="0.3">
      <c r="A224" s="6" t="s">
        <v>263</v>
      </c>
      <c r="B224" s="4" t="s">
        <v>104</v>
      </c>
      <c r="C224" s="6" t="s">
        <v>287</v>
      </c>
      <c r="D224" s="16" t="s">
        <v>9</v>
      </c>
      <c r="E224" s="6" t="s">
        <v>111</v>
      </c>
      <c r="F224" s="6" t="s">
        <v>11</v>
      </c>
      <c r="G224" s="6" t="s">
        <v>69</v>
      </c>
      <c r="H224" s="6">
        <v>3579</v>
      </c>
      <c r="I224" s="6">
        <v>214740</v>
      </c>
      <c r="J224" s="37">
        <f t="shared" si="3"/>
        <v>1503180</v>
      </c>
      <c r="K224" s="17" t="s">
        <v>293</v>
      </c>
    </row>
    <row r="225" spans="1:11" x14ac:dyDescent="0.3">
      <c r="A225" s="35" t="s">
        <v>264</v>
      </c>
      <c r="B225" s="4" t="s">
        <v>167</v>
      </c>
      <c r="C225" s="6" t="s">
        <v>287</v>
      </c>
      <c r="D225" s="43" t="s">
        <v>9</v>
      </c>
      <c r="E225" s="35" t="s">
        <v>111</v>
      </c>
      <c r="F225" s="35" t="s">
        <v>11</v>
      </c>
      <c r="G225" s="35" t="s">
        <v>69</v>
      </c>
      <c r="H225" s="35">
        <v>5479</v>
      </c>
      <c r="I225" s="35">
        <v>328740</v>
      </c>
      <c r="J225" s="37">
        <f t="shared" si="3"/>
        <v>2301180</v>
      </c>
      <c r="K225" s="40" t="s">
        <v>293</v>
      </c>
    </row>
    <row r="226" spans="1:11" x14ac:dyDescent="0.3">
      <c r="A226" s="6" t="s">
        <v>265</v>
      </c>
      <c r="B226" s="4" t="s">
        <v>168</v>
      </c>
      <c r="C226" s="6" t="s">
        <v>287</v>
      </c>
      <c r="D226" s="16" t="s">
        <v>9</v>
      </c>
      <c r="E226" s="6" t="s">
        <v>111</v>
      </c>
      <c r="F226" s="6" t="s">
        <v>62</v>
      </c>
      <c r="G226" s="6" t="s">
        <v>69</v>
      </c>
      <c r="H226" s="6">
        <v>2645</v>
      </c>
      <c r="I226" s="6">
        <v>158700</v>
      </c>
      <c r="J226" s="37">
        <f t="shared" si="3"/>
        <v>1110900</v>
      </c>
      <c r="K226" s="17" t="s">
        <v>294</v>
      </c>
    </row>
    <row r="227" spans="1:11" x14ac:dyDescent="0.3">
      <c r="A227" s="35" t="s">
        <v>266</v>
      </c>
      <c r="B227" s="4" t="s">
        <v>167</v>
      </c>
      <c r="C227" s="6" t="s">
        <v>287</v>
      </c>
      <c r="D227" s="43" t="s">
        <v>9</v>
      </c>
      <c r="E227" s="35" t="s">
        <v>111</v>
      </c>
      <c r="F227" s="35" t="s">
        <v>62</v>
      </c>
      <c r="G227" s="35" t="s">
        <v>69</v>
      </c>
      <c r="H227" s="35">
        <v>5985</v>
      </c>
      <c r="I227" s="35">
        <v>359100</v>
      </c>
      <c r="J227" s="37">
        <f t="shared" si="3"/>
        <v>2513700</v>
      </c>
      <c r="K227" s="40" t="s">
        <v>294</v>
      </c>
    </row>
    <row r="228" spans="1:11" x14ac:dyDescent="0.3">
      <c r="A228" s="6" t="s">
        <v>267</v>
      </c>
      <c r="B228" s="4" t="s">
        <v>80</v>
      </c>
      <c r="C228" s="6" t="s">
        <v>287</v>
      </c>
      <c r="D228" s="16" t="s">
        <v>9</v>
      </c>
      <c r="E228" s="6" t="s">
        <v>111</v>
      </c>
      <c r="F228" s="6" t="s">
        <v>62</v>
      </c>
      <c r="G228" s="6" t="s">
        <v>69</v>
      </c>
      <c r="H228" s="6">
        <v>4554</v>
      </c>
      <c r="I228" s="6">
        <v>273240</v>
      </c>
      <c r="J228" s="37">
        <f t="shared" si="3"/>
        <v>1912680</v>
      </c>
      <c r="K228" s="17" t="s">
        <v>294</v>
      </c>
    </row>
    <row r="229" spans="1:11" x14ac:dyDescent="0.3">
      <c r="A229" s="35" t="s">
        <v>268</v>
      </c>
      <c r="B229" s="4" t="s">
        <v>80</v>
      </c>
      <c r="C229" s="6" t="s">
        <v>287</v>
      </c>
      <c r="D229" s="43" t="s">
        <v>9</v>
      </c>
      <c r="E229" s="35" t="s">
        <v>111</v>
      </c>
      <c r="F229" s="35" t="s">
        <v>62</v>
      </c>
      <c r="G229" s="35" t="s">
        <v>69</v>
      </c>
      <c r="H229" s="35">
        <v>256</v>
      </c>
      <c r="I229" s="35">
        <v>15360</v>
      </c>
      <c r="J229" s="37">
        <f t="shared" si="3"/>
        <v>107520</v>
      </c>
      <c r="K229" s="40" t="s">
        <v>294</v>
      </c>
    </row>
    <row r="230" spans="1:11" x14ac:dyDescent="0.3">
      <c r="A230" s="6" t="s">
        <v>269</v>
      </c>
      <c r="B230" s="4" t="s">
        <v>169</v>
      </c>
      <c r="C230" s="6" t="s">
        <v>287</v>
      </c>
      <c r="D230" s="16" t="s">
        <v>9</v>
      </c>
      <c r="E230" s="6" t="s">
        <v>111</v>
      </c>
      <c r="F230" s="6" t="s">
        <v>62</v>
      </c>
      <c r="G230" s="6" t="s">
        <v>69</v>
      </c>
      <c r="H230" s="6">
        <v>11654</v>
      </c>
      <c r="I230" s="6">
        <v>699240</v>
      </c>
      <c r="J230" s="37">
        <f t="shared" si="3"/>
        <v>4894680</v>
      </c>
      <c r="K230" s="17" t="s">
        <v>294</v>
      </c>
    </row>
    <row r="231" spans="1:11" x14ac:dyDescent="0.3">
      <c r="A231" s="35" t="s">
        <v>270</v>
      </c>
      <c r="B231" s="4" t="s">
        <v>103</v>
      </c>
      <c r="C231" s="6" t="s">
        <v>287</v>
      </c>
      <c r="D231" s="43" t="s">
        <v>9</v>
      </c>
      <c r="E231" s="35" t="s">
        <v>111</v>
      </c>
      <c r="F231" s="35" t="s">
        <v>62</v>
      </c>
      <c r="G231" s="35" t="s">
        <v>69</v>
      </c>
      <c r="H231" s="35">
        <v>1990</v>
      </c>
      <c r="I231" s="35">
        <v>119400</v>
      </c>
      <c r="J231" s="37">
        <f t="shared" si="3"/>
        <v>835800</v>
      </c>
      <c r="K231" s="40" t="s">
        <v>294</v>
      </c>
    </row>
    <row r="232" spans="1:11" x14ac:dyDescent="0.3">
      <c r="A232" s="6" t="s">
        <v>271</v>
      </c>
      <c r="B232" s="4" t="s">
        <v>166</v>
      </c>
      <c r="C232" s="6" t="s">
        <v>287</v>
      </c>
      <c r="D232" s="16" t="s">
        <v>9</v>
      </c>
      <c r="E232" s="6" t="s">
        <v>18</v>
      </c>
      <c r="F232" s="6" t="s">
        <v>62</v>
      </c>
      <c r="G232" s="6" t="s">
        <v>69</v>
      </c>
      <c r="H232" s="6">
        <v>2500</v>
      </c>
      <c r="I232" s="6">
        <v>150000</v>
      </c>
      <c r="J232" s="37">
        <f t="shared" si="3"/>
        <v>1050000</v>
      </c>
      <c r="K232" s="17" t="s">
        <v>294</v>
      </c>
    </row>
    <row r="233" spans="1:11" x14ac:dyDescent="0.3">
      <c r="A233" s="35" t="s">
        <v>272</v>
      </c>
      <c r="B233" s="4" t="s">
        <v>170</v>
      </c>
      <c r="C233" s="6" t="s">
        <v>287</v>
      </c>
      <c r="D233" s="43" t="s">
        <v>9</v>
      </c>
      <c r="E233" s="35" t="s">
        <v>10</v>
      </c>
      <c r="F233" s="35" t="s">
        <v>62</v>
      </c>
      <c r="G233" s="35" t="s">
        <v>69</v>
      </c>
      <c r="H233" s="35">
        <v>4500</v>
      </c>
      <c r="I233" s="35">
        <v>270000</v>
      </c>
      <c r="J233" s="37">
        <f t="shared" si="3"/>
        <v>1890000</v>
      </c>
      <c r="K233" s="40" t="s">
        <v>294</v>
      </c>
    </row>
    <row r="234" spans="1:11" x14ac:dyDescent="0.3">
      <c r="A234" s="6" t="s">
        <v>273</v>
      </c>
      <c r="B234" s="4" t="s">
        <v>83</v>
      </c>
      <c r="C234" s="6" t="s">
        <v>287</v>
      </c>
      <c r="D234" s="16" t="s">
        <v>9</v>
      </c>
      <c r="E234" s="6" t="s">
        <v>18</v>
      </c>
      <c r="F234" s="6" t="s">
        <v>62</v>
      </c>
      <c r="G234" s="6" t="s">
        <v>69</v>
      </c>
      <c r="H234" s="6">
        <v>3500</v>
      </c>
      <c r="I234" s="6">
        <v>210000</v>
      </c>
      <c r="J234" s="37">
        <f t="shared" si="3"/>
        <v>1470000</v>
      </c>
      <c r="K234" s="17" t="s">
        <v>294</v>
      </c>
    </row>
    <row r="235" spans="1:11" x14ac:dyDescent="0.3">
      <c r="A235" s="35" t="s">
        <v>274</v>
      </c>
      <c r="B235" s="4" t="s">
        <v>171</v>
      </c>
      <c r="C235" s="6" t="s">
        <v>287</v>
      </c>
      <c r="D235" s="43" t="s">
        <v>9</v>
      </c>
      <c r="E235" s="35" t="s">
        <v>10</v>
      </c>
      <c r="F235" s="35" t="s">
        <v>62</v>
      </c>
      <c r="G235" s="35" t="s">
        <v>69</v>
      </c>
      <c r="H235" s="35">
        <v>5500</v>
      </c>
      <c r="I235" s="35">
        <v>330000</v>
      </c>
      <c r="J235" s="37">
        <f t="shared" si="3"/>
        <v>2310000</v>
      </c>
      <c r="K235" s="40" t="s">
        <v>294</v>
      </c>
    </row>
    <row r="236" spans="1:11" x14ac:dyDescent="0.3">
      <c r="A236" s="6" t="s">
        <v>275</v>
      </c>
      <c r="B236" s="4" t="s">
        <v>168</v>
      </c>
      <c r="C236" s="6" t="s">
        <v>287</v>
      </c>
      <c r="D236" s="16" t="s">
        <v>9</v>
      </c>
      <c r="E236" s="6" t="s">
        <v>18</v>
      </c>
      <c r="F236" s="6" t="s">
        <v>62</v>
      </c>
      <c r="G236" s="6" t="s">
        <v>235</v>
      </c>
      <c r="H236" s="6">
        <v>5555</v>
      </c>
      <c r="I236" s="6">
        <v>333300</v>
      </c>
      <c r="J236" s="37">
        <f t="shared" si="3"/>
        <v>2333100</v>
      </c>
      <c r="K236" s="17" t="s">
        <v>294</v>
      </c>
    </row>
    <row r="237" spans="1:11" x14ac:dyDescent="0.3">
      <c r="A237" s="35" t="s">
        <v>276</v>
      </c>
      <c r="B237" s="4" t="s">
        <v>81</v>
      </c>
      <c r="C237" s="6" t="s">
        <v>287</v>
      </c>
      <c r="D237" s="43" t="s">
        <v>9</v>
      </c>
      <c r="E237" s="35" t="s">
        <v>10</v>
      </c>
      <c r="F237" s="35" t="s">
        <v>62</v>
      </c>
      <c r="G237" s="35" t="s">
        <v>235</v>
      </c>
      <c r="H237" s="35">
        <v>6000</v>
      </c>
      <c r="I237" s="35">
        <v>360000</v>
      </c>
      <c r="J237" s="37">
        <f t="shared" si="3"/>
        <v>2520000</v>
      </c>
      <c r="K237" s="40" t="s">
        <v>294</v>
      </c>
    </row>
    <row r="238" spans="1:11" x14ac:dyDescent="0.3">
      <c r="A238" s="6" t="s">
        <v>277</v>
      </c>
      <c r="B238" s="4" t="s">
        <v>80</v>
      </c>
      <c r="C238" s="6" t="s">
        <v>287</v>
      </c>
      <c r="D238" s="16" t="s">
        <v>9</v>
      </c>
      <c r="E238" s="6" t="s">
        <v>18</v>
      </c>
      <c r="F238" s="6" t="s">
        <v>67</v>
      </c>
      <c r="G238" s="6" t="s">
        <v>235</v>
      </c>
      <c r="H238" s="6">
        <v>4120</v>
      </c>
      <c r="I238" s="6">
        <v>247200</v>
      </c>
      <c r="J238" s="37">
        <f t="shared" si="3"/>
        <v>1730400</v>
      </c>
      <c r="K238" s="17" t="s">
        <v>294</v>
      </c>
    </row>
    <row r="239" spans="1:11" x14ac:dyDescent="0.3">
      <c r="A239" s="35" t="s">
        <v>278</v>
      </c>
      <c r="B239" s="4" t="s">
        <v>103</v>
      </c>
      <c r="C239" s="6" t="s">
        <v>287</v>
      </c>
      <c r="D239" s="43" t="s">
        <v>9</v>
      </c>
      <c r="E239" s="35" t="s">
        <v>10</v>
      </c>
      <c r="F239" s="35" t="s">
        <v>67</v>
      </c>
      <c r="G239" s="35" t="s">
        <v>235</v>
      </c>
      <c r="H239" s="35">
        <v>4190</v>
      </c>
      <c r="I239" s="35">
        <v>251400</v>
      </c>
      <c r="J239" s="37">
        <f t="shared" si="3"/>
        <v>1759800</v>
      </c>
      <c r="K239" s="40" t="s">
        <v>294</v>
      </c>
    </row>
    <row r="240" spans="1:11" x14ac:dyDescent="0.3">
      <c r="A240" s="6" t="s">
        <v>279</v>
      </c>
      <c r="B240" s="4" t="s">
        <v>103</v>
      </c>
      <c r="C240" s="6" t="s">
        <v>287</v>
      </c>
      <c r="D240" s="16" t="s">
        <v>15</v>
      </c>
      <c r="E240" s="6" t="s">
        <v>18</v>
      </c>
      <c r="F240" s="6" t="s">
        <v>67</v>
      </c>
      <c r="G240" s="6" t="s">
        <v>235</v>
      </c>
      <c r="H240" s="6">
        <v>5650</v>
      </c>
      <c r="I240" s="6">
        <v>339000</v>
      </c>
      <c r="J240" s="37">
        <f t="shared" si="3"/>
        <v>2373000</v>
      </c>
      <c r="K240" s="17" t="s">
        <v>294</v>
      </c>
    </row>
    <row r="241" spans="1:11" x14ac:dyDescent="0.3">
      <c r="A241" s="35" t="s">
        <v>280</v>
      </c>
      <c r="B241" s="4" t="s">
        <v>82</v>
      </c>
      <c r="C241" s="6" t="s">
        <v>287</v>
      </c>
      <c r="D241" s="43" t="s">
        <v>15</v>
      </c>
      <c r="E241" s="35" t="s">
        <v>10</v>
      </c>
      <c r="F241" s="35" t="s">
        <v>67</v>
      </c>
      <c r="G241" s="35" t="s">
        <v>235</v>
      </c>
      <c r="H241" s="35">
        <v>4800</v>
      </c>
      <c r="I241" s="35">
        <v>288000</v>
      </c>
      <c r="J241" s="37">
        <f t="shared" si="3"/>
        <v>2016000</v>
      </c>
      <c r="K241" s="40" t="s">
        <v>294</v>
      </c>
    </row>
    <row r="242" spans="1:11" x14ac:dyDescent="0.3">
      <c r="A242" s="6" t="s">
        <v>281</v>
      </c>
      <c r="B242" s="4" t="s">
        <v>168</v>
      </c>
      <c r="C242" s="6" t="s">
        <v>287</v>
      </c>
      <c r="D242" s="16" t="s">
        <v>15</v>
      </c>
      <c r="E242" s="6" t="s">
        <v>18</v>
      </c>
      <c r="F242" s="6" t="s">
        <v>67</v>
      </c>
      <c r="G242" s="6" t="s">
        <v>235</v>
      </c>
      <c r="H242" s="6">
        <v>4950</v>
      </c>
      <c r="I242" s="6">
        <v>297000</v>
      </c>
      <c r="J242" s="37">
        <f t="shared" si="3"/>
        <v>2079000</v>
      </c>
      <c r="K242" s="17" t="s">
        <v>294</v>
      </c>
    </row>
    <row r="243" spans="1:11" x14ac:dyDescent="0.3">
      <c r="A243" s="35" t="s">
        <v>282</v>
      </c>
      <c r="B243" s="4" t="s">
        <v>85</v>
      </c>
      <c r="C243" s="6" t="s">
        <v>287</v>
      </c>
      <c r="D243" s="43" t="s">
        <v>15</v>
      </c>
      <c r="E243" s="35" t="s">
        <v>10</v>
      </c>
      <c r="F243" s="35" t="s">
        <v>67</v>
      </c>
      <c r="G243" s="35" t="s">
        <v>235</v>
      </c>
      <c r="H243" s="35">
        <v>4100</v>
      </c>
      <c r="I243" s="35">
        <v>246000</v>
      </c>
      <c r="J243" s="37">
        <f t="shared" si="3"/>
        <v>1722000</v>
      </c>
      <c r="K243" s="40" t="s">
        <v>292</v>
      </c>
    </row>
    <row r="244" spans="1:11" x14ac:dyDescent="0.3">
      <c r="A244" s="6" t="s">
        <v>283</v>
      </c>
      <c r="B244" s="4" t="s">
        <v>166</v>
      </c>
      <c r="C244" s="6" t="s">
        <v>287</v>
      </c>
      <c r="D244" s="16" t="s">
        <v>15</v>
      </c>
      <c r="E244" s="6" t="s">
        <v>10</v>
      </c>
      <c r="F244" s="6" t="s">
        <v>67</v>
      </c>
      <c r="G244" s="6" t="s">
        <v>235</v>
      </c>
      <c r="H244" s="6">
        <v>5522</v>
      </c>
      <c r="I244" s="6">
        <v>331320</v>
      </c>
      <c r="J244" s="37">
        <f t="shared" si="3"/>
        <v>2319240</v>
      </c>
      <c r="K244" s="17" t="s">
        <v>292</v>
      </c>
    </row>
    <row r="245" spans="1:11" x14ac:dyDescent="0.3">
      <c r="A245" s="35" t="s">
        <v>284</v>
      </c>
      <c r="B245" s="4" t="s">
        <v>82</v>
      </c>
      <c r="C245" s="6" t="s">
        <v>287</v>
      </c>
      <c r="D245" s="43" t="s">
        <v>15</v>
      </c>
      <c r="E245" s="35" t="s">
        <v>10</v>
      </c>
      <c r="F245" s="35" t="s">
        <v>67</v>
      </c>
      <c r="G245" s="35" t="s">
        <v>235</v>
      </c>
      <c r="H245" s="35">
        <v>3656</v>
      </c>
      <c r="I245" s="35">
        <v>219360</v>
      </c>
      <c r="J245" s="37">
        <f t="shared" si="3"/>
        <v>1535520</v>
      </c>
      <c r="K245" s="40" t="s">
        <v>292</v>
      </c>
    </row>
    <row r="246" spans="1:11" x14ac:dyDescent="0.3">
      <c r="A246" s="6" t="s">
        <v>272</v>
      </c>
      <c r="B246" s="9" t="s">
        <v>103</v>
      </c>
      <c r="C246" s="11" t="s">
        <v>287</v>
      </c>
      <c r="D246" s="15" t="s">
        <v>15</v>
      </c>
      <c r="E246" s="11" t="s">
        <v>10</v>
      </c>
      <c r="F246" s="11" t="s">
        <v>67</v>
      </c>
      <c r="G246" s="11" t="s">
        <v>235</v>
      </c>
      <c r="H246" s="11">
        <v>3345</v>
      </c>
      <c r="I246" s="11">
        <v>200700</v>
      </c>
      <c r="J246" s="51">
        <f t="shared" si="3"/>
        <v>1404900</v>
      </c>
      <c r="K246" s="14" t="s">
        <v>292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MANDHI</vt:lpstr>
      <vt:lpstr>QSR</vt:lpstr>
      <vt:lpstr>RESTUARANT</vt:lpstr>
      <vt:lpstr>BAKERY</vt:lpstr>
      <vt:lpstr>SUPERMARKET</vt:lpstr>
      <vt:lpstr>All in 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Bhaskar</dc:creator>
  <cp:lastModifiedBy>Vijay Bhaskar</cp:lastModifiedBy>
  <dcterms:created xsi:type="dcterms:W3CDTF">2026-10-12T19:25:56Z</dcterms:created>
  <dcterms:modified xsi:type="dcterms:W3CDTF">2026-10-15T06:37:00Z</dcterms:modified>
</cp:coreProperties>
</file>